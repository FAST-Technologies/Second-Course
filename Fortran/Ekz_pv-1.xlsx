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isc\Downloads\"/>
    </mc:Choice>
  </mc:AlternateContent>
  <xr:revisionPtr revIDLastSave="0" documentId="13_ncr:1_{79E09F73-B9F0-4BEB-A869-D6A024E3E322}" xr6:coauthVersionLast="47" xr6:coauthVersionMax="47" xr10:uidLastSave="{00000000-0000-0000-0000-000000000000}"/>
  <bookViews>
    <workbookView xWindow="384" yWindow="384" windowWidth="11460" windowHeight="12360" xr2:uid="{D0366F06-4934-4AA8-B8B2-C2C9AC41BD5E}"/>
  </bookViews>
  <sheets>
    <sheet name="Вопрос 1" sheetId="1" r:id="rId1"/>
    <sheet name="Вопрос 2" sheetId="3" r:id="rId2"/>
    <sheet name="Промежуточные вычисления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3" l="1"/>
  <c r="A22" i="1"/>
  <c r="B22" i="1"/>
  <c r="C22" i="1"/>
  <c r="D22" i="1"/>
  <c r="A23" i="1"/>
  <c r="B23" i="1"/>
  <c r="C23" i="1"/>
  <c r="D23" i="1"/>
  <c r="A24" i="1"/>
  <c r="B24" i="1"/>
  <c r="C24" i="1"/>
  <c r="D24" i="1"/>
  <c r="G28" i="1"/>
  <c r="G29" i="1"/>
  <c r="G30" i="1"/>
  <c r="G27" i="1"/>
  <c r="H30" i="1"/>
  <c r="F30" i="1"/>
  <c r="E30" i="1"/>
  <c r="H29" i="1"/>
  <c r="F29" i="1"/>
  <c r="E29" i="1"/>
  <c r="H28" i="1"/>
  <c r="F28" i="1"/>
  <c r="E28" i="1"/>
  <c r="H27" i="1"/>
  <c r="F27" i="1"/>
  <c r="E27" i="1"/>
  <c r="D28" i="1"/>
  <c r="D29" i="1"/>
  <c r="D30" i="1"/>
  <c r="D27" i="1"/>
  <c r="C28" i="1"/>
  <c r="C29" i="1"/>
  <c r="C30" i="1"/>
  <c r="C27" i="1"/>
  <c r="B28" i="1"/>
  <c r="B29" i="1"/>
  <c r="B30" i="1"/>
  <c r="B27" i="1"/>
  <c r="A28" i="1"/>
  <c r="A29" i="1"/>
  <c r="A30" i="1"/>
  <c r="A27" i="1"/>
  <c r="E23" i="1"/>
  <c r="E24" i="1"/>
  <c r="E25" i="1"/>
  <c r="E22" i="1"/>
  <c r="H25" i="1"/>
  <c r="G25" i="1"/>
  <c r="F25" i="1"/>
  <c r="H24" i="1"/>
  <c r="G24" i="1"/>
  <c r="F24" i="1"/>
  <c r="H23" i="1"/>
  <c r="G23" i="1"/>
  <c r="F23" i="1"/>
  <c r="H22" i="1"/>
  <c r="G22" i="1"/>
  <c r="F22" i="1"/>
  <c r="D25" i="1"/>
  <c r="C25" i="1"/>
  <c r="B25" i="1"/>
  <c r="A25" i="1"/>
  <c r="K27" i="1" l="1"/>
  <c r="G37" i="1" s="1"/>
  <c r="K22" i="1"/>
  <c r="E37" i="1" s="1"/>
  <c r="K24" i="1"/>
  <c r="K29" i="1"/>
  <c r="H37" i="1" s="1"/>
  <c r="F39" i="1"/>
  <c r="F37" i="1"/>
  <c r="F15" i="1"/>
  <c r="A14" i="1"/>
  <c r="H14" i="1" s="1"/>
  <c r="E14" i="1"/>
  <c r="C3" i="2"/>
  <c r="D3" i="2"/>
  <c r="E3" i="2"/>
  <c r="F3" i="2"/>
  <c r="C4" i="2"/>
  <c r="D4" i="2"/>
  <c r="E4" i="2"/>
  <c r="F4" i="2"/>
  <c r="C5" i="2"/>
  <c r="D5" i="2"/>
  <c r="E5" i="2"/>
  <c r="F5" i="2"/>
  <c r="D2" i="2"/>
  <c r="D10" i="2" s="1"/>
  <c r="E2" i="2"/>
  <c r="E10" i="2" s="1"/>
  <c r="F2" i="2"/>
  <c r="F10" i="2" s="1"/>
  <c r="C2" i="2"/>
  <c r="C10" i="2" s="1"/>
  <c r="N10" i="2"/>
  <c r="B10" i="2" s="1"/>
  <c r="H39" i="1" l="1"/>
  <c r="G39" i="1"/>
  <c r="E39" i="1"/>
  <c r="I14" i="1"/>
  <c r="M2" i="2"/>
  <c r="B2" i="2" s="1"/>
  <c r="C58" i="2" s="1"/>
  <c r="A8" i="1" s="1"/>
  <c r="F14" i="1"/>
  <c r="J14" i="1" s="1"/>
  <c r="A16" i="1"/>
  <c r="A15" i="1"/>
  <c r="A17" i="1"/>
  <c r="A37" i="1" s="1"/>
  <c r="G14" i="1"/>
  <c r="D18" i="2"/>
  <c r="N18" i="2"/>
  <c r="E18" i="2"/>
  <c r="F18" i="2"/>
  <c r="C18" i="2"/>
  <c r="F12" i="2" l="1"/>
  <c r="C11" i="2"/>
  <c r="C19" i="2" s="1"/>
  <c r="C27" i="2" s="1"/>
  <c r="E11" i="2"/>
  <c r="E19" i="2" s="1"/>
  <c r="E27" i="2" s="1"/>
  <c r="D13" i="2"/>
  <c r="B3" i="2"/>
  <c r="C59" i="2" s="1"/>
  <c r="A9" i="1" s="1"/>
  <c r="F13" i="2"/>
  <c r="B4" i="2"/>
  <c r="C60" i="2" s="1"/>
  <c r="A10" i="1" s="1"/>
  <c r="C12" i="2"/>
  <c r="E13" i="2"/>
  <c r="D12" i="2"/>
  <c r="C13" i="2"/>
  <c r="B5" i="2"/>
  <c r="C61" i="2" s="1"/>
  <c r="A11" i="1" s="1"/>
  <c r="A39" i="1" s="1"/>
  <c r="E12" i="2"/>
  <c r="D11" i="2"/>
  <c r="M10" i="2" s="1"/>
  <c r="F11" i="2"/>
  <c r="F19" i="2" s="1"/>
  <c r="F27" i="2" s="1"/>
  <c r="B15" i="1"/>
  <c r="I15" i="1" s="1"/>
  <c r="F26" i="2"/>
  <c r="E26" i="2"/>
  <c r="N26" i="2"/>
  <c r="B18" i="2"/>
  <c r="B19" i="2"/>
  <c r="C26" i="2"/>
  <c r="C34" i="2" s="1"/>
  <c r="D26" i="2"/>
  <c r="D19" i="2" l="1"/>
  <c r="D27" i="2" s="1"/>
  <c r="D35" i="2" s="1"/>
  <c r="H15" i="1"/>
  <c r="B17" i="1"/>
  <c r="B37" i="1" s="1"/>
  <c r="J15" i="1"/>
  <c r="G15" i="1"/>
  <c r="B16" i="1"/>
  <c r="C35" i="2"/>
  <c r="N34" i="2"/>
  <c r="B26" i="2"/>
  <c r="B28" i="2"/>
  <c r="F60" i="2" s="1"/>
  <c r="D10" i="1" s="1"/>
  <c r="B27" i="2"/>
  <c r="E35" i="2"/>
  <c r="E43" i="2" s="1"/>
  <c r="F34" i="2"/>
  <c r="F35" i="2"/>
  <c r="D34" i="2"/>
  <c r="E34" i="2"/>
  <c r="E42" i="2" s="1"/>
  <c r="D21" i="2"/>
  <c r="E21" i="2"/>
  <c r="D20" i="2"/>
  <c r="F21" i="2"/>
  <c r="F20" i="2"/>
  <c r="C20" i="2"/>
  <c r="C21" i="2"/>
  <c r="E20" i="2"/>
  <c r="B12" i="2"/>
  <c r="B11" i="2"/>
  <c r="B13" i="2"/>
  <c r="D61" i="2" s="1"/>
  <c r="B11" i="1" s="1"/>
  <c r="B39" i="1" s="1"/>
  <c r="C16" i="1" l="1"/>
  <c r="I16" i="1" s="1"/>
  <c r="G16" i="1"/>
  <c r="K14" i="1" s="1"/>
  <c r="D60" i="2"/>
  <c r="B10" i="1" s="1"/>
  <c r="D58" i="2"/>
  <c r="F58" i="2"/>
  <c r="D59" i="2"/>
  <c r="D43" i="2"/>
  <c r="B34" i="2"/>
  <c r="B37" i="2"/>
  <c r="N42" i="2"/>
  <c r="E51" i="2" s="1"/>
  <c r="G9" i="1" s="1"/>
  <c r="B35" i="2"/>
  <c r="B36" i="2"/>
  <c r="D42" i="2"/>
  <c r="C43" i="2"/>
  <c r="C51" i="2" s="1"/>
  <c r="E9" i="1" s="1"/>
  <c r="F43" i="2"/>
  <c r="F42" i="2"/>
  <c r="C42" i="2"/>
  <c r="F28" i="2"/>
  <c r="F36" i="2" s="1"/>
  <c r="F44" i="2" s="1"/>
  <c r="F52" i="2" s="1"/>
  <c r="H10" i="1" s="1"/>
  <c r="E28" i="2"/>
  <c r="E36" i="2" s="1"/>
  <c r="E44" i="2" s="1"/>
  <c r="C28" i="2"/>
  <c r="C36" i="2" s="1"/>
  <c r="C44" i="2" s="1"/>
  <c r="D28" i="2"/>
  <c r="D36" i="2" s="1"/>
  <c r="D44" i="2" s="1"/>
  <c r="M18" i="2"/>
  <c r="H16" i="1" l="1"/>
  <c r="K16" i="1"/>
  <c r="K15" i="1"/>
  <c r="J16" i="1"/>
  <c r="C17" i="1"/>
  <c r="C37" i="1" s="1"/>
  <c r="B9" i="1"/>
  <c r="D8" i="1"/>
  <c r="B8" i="1"/>
  <c r="B20" i="2"/>
  <c r="E60" i="2" s="1"/>
  <c r="C10" i="1" s="1"/>
  <c r="E52" i="2"/>
  <c r="G10" i="1" s="1"/>
  <c r="F51" i="2"/>
  <c r="H9" i="1" s="1"/>
  <c r="E58" i="2"/>
  <c r="C52" i="2"/>
  <c r="E10" i="1" s="1"/>
  <c r="D52" i="2"/>
  <c r="F10" i="1" s="1"/>
  <c r="D50" i="2"/>
  <c r="F8" i="1" s="1"/>
  <c r="F50" i="2"/>
  <c r="H8" i="1" s="1"/>
  <c r="E50" i="2"/>
  <c r="G8" i="1" s="1"/>
  <c r="B43" i="2"/>
  <c r="C50" i="2"/>
  <c r="E8" i="1" s="1"/>
  <c r="B44" i="2"/>
  <c r="N50" i="2"/>
  <c r="B45" i="2"/>
  <c r="B42" i="2"/>
  <c r="D51" i="2"/>
  <c r="F9" i="1" s="1"/>
  <c r="F29" i="2"/>
  <c r="B21" i="2"/>
  <c r="E61" i="2" s="1"/>
  <c r="C11" i="1" s="1"/>
  <c r="C39" i="1" s="1"/>
  <c r="D29" i="2"/>
  <c r="E29" i="2"/>
  <c r="C29" i="2"/>
  <c r="D17" i="1" l="1"/>
  <c r="H17" i="1"/>
  <c r="L14" i="1" s="1"/>
  <c r="C8" i="1"/>
  <c r="M26" i="2"/>
  <c r="E59" i="2"/>
  <c r="F59" i="2"/>
  <c r="N58" i="2"/>
  <c r="M58" i="2" s="1"/>
  <c r="B53" i="2"/>
  <c r="B50" i="2"/>
  <c r="B51" i="2"/>
  <c r="B52" i="2"/>
  <c r="D37" i="2"/>
  <c r="D45" i="2" s="1"/>
  <c r="D53" i="2" s="1"/>
  <c r="F11" i="1" s="1"/>
  <c r="C37" i="2"/>
  <c r="C45" i="2" s="1"/>
  <c r="C53" i="2" s="1"/>
  <c r="E11" i="1" s="1"/>
  <c r="I10" i="1" s="1"/>
  <c r="E37" i="2"/>
  <c r="E45" i="2" s="1"/>
  <c r="E53" i="2" s="1"/>
  <c r="G11" i="1" s="1"/>
  <c r="F37" i="2"/>
  <c r="F45" i="2" s="1"/>
  <c r="F53" i="2" s="1"/>
  <c r="H11" i="1" s="1"/>
  <c r="J17" i="1" l="1"/>
  <c r="D37" i="1"/>
  <c r="L17" i="1"/>
  <c r="K17" i="1"/>
  <c r="I17" i="1"/>
  <c r="L16" i="1"/>
  <c r="L15" i="1"/>
  <c r="K10" i="1"/>
  <c r="J10" i="1"/>
  <c r="L10" i="1"/>
  <c r="K8" i="1"/>
  <c r="J8" i="1"/>
  <c r="I8" i="1"/>
  <c r="L8" i="1"/>
  <c r="D9" i="1"/>
  <c r="C9" i="1"/>
  <c r="B29" i="2"/>
  <c r="F61" i="2" s="1"/>
  <c r="D11" i="1" s="1"/>
  <c r="D39" i="1" s="1"/>
  <c r="I11" i="1" l="1"/>
  <c r="J11" i="1"/>
  <c r="L11" i="1"/>
  <c r="K11" i="1"/>
  <c r="L9" i="1"/>
  <c r="K9" i="1"/>
  <c r="J9" i="1"/>
  <c r="I9" i="1"/>
  <c r="M34" i="2"/>
  <c r="B58" i="2" l="1"/>
  <c r="B59" i="2"/>
  <c r="B60" i="2"/>
  <c r="B61" i="2"/>
  <c r="M42" i="2" l="1"/>
  <c r="M5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Артём</author>
  </authors>
  <commentList>
    <comment ref="A12" authorId="0" shapeId="0" xr:uid="{CC1F9042-093D-4A22-B924-D2F3EF399AAF}">
      <text>
        <r>
          <rPr>
            <b/>
            <sz val="9"/>
            <color indexed="81"/>
            <rFont val="Tahoma"/>
            <family val="2"/>
            <charset val="204"/>
          </rPr>
          <t>Матрица А должна быть симметричной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<sst xmlns="http://schemas.openxmlformats.org/spreadsheetml/2006/main" count="42" uniqueCount="34">
  <si>
    <t>Введите матрицу А</t>
  </si>
  <si>
    <t>Матрица L</t>
  </si>
  <si>
    <t>Матрица U</t>
  </si>
  <si>
    <t>Разложение LU(Главная диагональ L состоит из 1)</t>
  </si>
  <si>
    <t>Разложение LU(Метод квадратного корня)</t>
  </si>
  <si>
    <t>Проверка (На всякий случай)</t>
  </si>
  <si>
    <t>L*U=A</t>
  </si>
  <si>
    <t>Промежуточные вычисления</t>
  </si>
  <si>
    <t>Dx1 =</t>
  </si>
  <si>
    <t>Dx2 =</t>
  </si>
  <si>
    <t>Dx3 =</t>
  </si>
  <si>
    <t>Dx4 =</t>
  </si>
  <si>
    <t>x1 =</t>
  </si>
  <si>
    <t>x2 =</t>
  </si>
  <si>
    <t>x3 =</t>
  </si>
  <si>
    <t>x4 =</t>
  </si>
  <si>
    <t>Результат вычислений</t>
  </si>
  <si>
    <t>Ответ</t>
  </si>
  <si>
    <t>"В качестве ответа введите
последнюю строку матрицы L и вектор решения"</t>
  </si>
  <si>
    <t>x</t>
  </si>
  <si>
    <t>S(x)</t>
  </si>
  <si>
    <t>S'(x)</t>
  </si>
  <si>
    <t xml:space="preserve">Вычислить значение в точке </t>
  </si>
  <si>
    <t>Переходим по ссылке:</t>
  </si>
  <si>
    <t>https://www.wolframalpha.com/input</t>
  </si>
  <si>
    <t>interpolating polynomial {-9,-5940},{-3,-234},{-1,-12},{1,10},{2,66}</t>
  </si>
  <si>
    <t>Получаем следующий результат:</t>
  </si>
  <si>
    <t>Переносим коэффициенты сюда</t>
  </si>
  <si>
    <t>Коэф. при x^3</t>
  </si>
  <si>
    <t>Коэф. при x^2</t>
  </si>
  <si>
    <t>Коэф. при x^1</t>
  </si>
  <si>
    <t>Коэф. при x^0</t>
  </si>
  <si>
    <t>Вбиваем значения (выделено красным сверху) следующим образом:</t>
  </si>
  <si>
    <t>Введите вектор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</si>
</sst>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u/>
      <sz val="2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2" fillId="0" borderId="0" xfId="1" applyAlignment="1">
      <alignment vertical="center"/>
    </xf>
    <xf numFmtId="0" fontId="6" fillId="0" borderId="0" xfId="0" applyFont="1" applyBorder="1" applyAlignment="1">
      <alignment vertical="center"/>
    </xf>
    <xf numFmtId="0" fontId="5" fillId="1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13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11</xdr:col>
      <xdr:colOff>391515</xdr:colOff>
      <xdr:row>18</xdr:row>
      <xdr:rowOff>161925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7E16F88-E807-EDF5-99E0-A73E919ED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0275"/>
          <a:ext cx="7097115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wolframalpha.com/inp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6BC8-FEAB-4270-AD89-7F1FF11F6248}">
  <dimension ref="A1:L39"/>
  <sheetViews>
    <sheetView tabSelected="1" topLeftCell="A19" workbookViewId="0">
      <selection activeCell="A6" sqref="A6:H6"/>
    </sheetView>
  </sheetViews>
  <sheetFormatPr defaultColWidth="9.109375" defaultRowHeight="14.4" x14ac:dyDescent="0.3"/>
  <cols>
    <col min="1" max="16384" width="9.109375" style="2"/>
  </cols>
  <sheetData>
    <row r="1" spans="1:12" x14ac:dyDescent="0.3">
      <c r="A1" s="38" t="s">
        <v>0</v>
      </c>
      <c r="B1" s="38"/>
      <c r="C1" s="38"/>
      <c r="D1" s="38"/>
      <c r="E1" s="38" t="s">
        <v>33</v>
      </c>
      <c r="F1" s="38"/>
      <c r="G1" s="37"/>
      <c r="H1" s="37"/>
    </row>
    <row r="2" spans="1:12" x14ac:dyDescent="0.3">
      <c r="A2" s="5">
        <v>49</v>
      </c>
      <c r="B2" s="5">
        <v>21</v>
      </c>
      <c r="C2" s="5">
        <v>0</v>
      </c>
      <c r="D2" s="5">
        <v>49</v>
      </c>
      <c r="E2" s="35">
        <v>287</v>
      </c>
      <c r="F2" s="36"/>
    </row>
    <row r="3" spans="1:12" x14ac:dyDescent="0.3">
      <c r="A3" s="5">
        <v>21</v>
      </c>
      <c r="B3" s="5">
        <v>25</v>
      </c>
      <c r="C3" s="5">
        <v>12</v>
      </c>
      <c r="D3" s="5">
        <v>25</v>
      </c>
      <c r="E3" s="35">
        <v>247</v>
      </c>
      <c r="F3" s="36"/>
    </row>
    <row r="4" spans="1:12" x14ac:dyDescent="0.3">
      <c r="A4" s="5">
        <v>0</v>
      </c>
      <c r="B4" s="5">
        <v>12</v>
      </c>
      <c r="C4" s="5">
        <v>13</v>
      </c>
      <c r="D4" s="5">
        <v>3</v>
      </c>
      <c r="E4" s="35">
        <v>121</v>
      </c>
      <c r="F4" s="36"/>
    </row>
    <row r="5" spans="1:12" x14ac:dyDescent="0.3">
      <c r="A5" s="6">
        <v>49</v>
      </c>
      <c r="B5" s="6">
        <v>25</v>
      </c>
      <c r="C5" s="6">
        <v>3</v>
      </c>
      <c r="D5" s="6">
        <v>131</v>
      </c>
      <c r="E5" s="35">
        <v>480</v>
      </c>
      <c r="F5" s="36"/>
    </row>
    <row r="6" spans="1:12" x14ac:dyDescent="0.3">
      <c r="A6" s="21" t="s">
        <v>3</v>
      </c>
      <c r="B6" s="21"/>
      <c r="C6" s="21"/>
      <c r="D6" s="21"/>
      <c r="E6" s="21"/>
      <c r="F6" s="21"/>
      <c r="G6" s="21"/>
      <c r="H6" s="21"/>
      <c r="I6" s="21" t="s">
        <v>5</v>
      </c>
      <c r="J6" s="21"/>
      <c r="K6" s="21"/>
      <c r="L6" s="21"/>
    </row>
    <row r="7" spans="1:12" x14ac:dyDescent="0.3">
      <c r="A7" s="32" t="s">
        <v>1</v>
      </c>
      <c r="B7" s="32"/>
      <c r="C7" s="32"/>
      <c r="D7" s="32"/>
      <c r="E7" s="33" t="s">
        <v>2</v>
      </c>
      <c r="F7" s="33"/>
      <c r="G7" s="33"/>
      <c r="H7" s="33"/>
      <c r="I7" s="34" t="s">
        <v>6</v>
      </c>
      <c r="J7" s="34"/>
      <c r="K7" s="34"/>
      <c r="L7" s="34"/>
    </row>
    <row r="8" spans="1:12" x14ac:dyDescent="0.3">
      <c r="A8" s="12">
        <f ca="1">'Промежуточные вычисления'!C58</f>
        <v>1</v>
      </c>
      <c r="B8" s="12">
        <f ca="1">'Промежуточные вычисления'!D58</f>
        <v>0</v>
      </c>
      <c r="C8" s="12">
        <f ca="1">'Промежуточные вычисления'!E58</f>
        <v>0</v>
      </c>
      <c r="D8" s="12">
        <f ca="1">'Промежуточные вычисления'!F58</f>
        <v>0</v>
      </c>
      <c r="E8" s="13">
        <f ca="1">'Промежуточные вычисления'!C50</f>
        <v>49</v>
      </c>
      <c r="F8" s="13">
        <f ca="1">'Промежуточные вычисления'!D50</f>
        <v>21</v>
      </c>
      <c r="G8" s="13">
        <f ca="1">'Промежуточные вычисления'!E50</f>
        <v>0</v>
      </c>
      <c r="H8" s="13">
        <f ca="1">'Промежуточные вычисления'!F50</f>
        <v>49</v>
      </c>
      <c r="I8" s="7">
        <f ca="1">MMULT(A8:D8,E8:E11)</f>
        <v>49</v>
      </c>
      <c r="J8" s="7">
        <f ca="1">MMULT(A8:D8,F8:F11)</f>
        <v>21</v>
      </c>
      <c r="K8" s="7">
        <f ca="1">MMULT(A8:D8,G8:G11)</f>
        <v>0</v>
      </c>
      <c r="L8" s="7">
        <f ca="1">MMULT(A8:D8,H8:H11)</f>
        <v>49</v>
      </c>
    </row>
    <row r="9" spans="1:12" x14ac:dyDescent="0.3">
      <c r="A9" s="12">
        <f ca="1">'Промежуточные вычисления'!C59</f>
        <v>0.42857142857142855</v>
      </c>
      <c r="B9" s="12">
        <f ca="1">'Промежуточные вычисления'!D59</f>
        <v>1</v>
      </c>
      <c r="C9" s="12">
        <f ca="1">'Промежуточные вычисления'!E59</f>
        <v>0</v>
      </c>
      <c r="D9" s="12">
        <f ca="1">'Промежуточные вычисления'!F59</f>
        <v>0</v>
      </c>
      <c r="E9" s="13">
        <f ca="1">'Промежуточные вычисления'!C51</f>
        <v>0</v>
      </c>
      <c r="F9" s="13">
        <f ca="1">'Промежуточные вычисления'!D51</f>
        <v>16</v>
      </c>
      <c r="G9" s="13">
        <f ca="1">'Промежуточные вычисления'!E51</f>
        <v>12</v>
      </c>
      <c r="H9" s="13">
        <f ca="1">'Промежуточные вычисления'!F51</f>
        <v>4</v>
      </c>
      <c r="I9" s="7">
        <f ca="1">MMULT($A$9:$D$9,E8:E11)</f>
        <v>21</v>
      </c>
      <c r="J9" s="7">
        <f ca="1">MMULT($A$9:$D$9,F8:F11)</f>
        <v>25</v>
      </c>
      <c r="K9" s="7">
        <f ca="1">MMULT($A$9:$D$9,G8:G11)</f>
        <v>12</v>
      </c>
      <c r="L9" s="7">
        <f ca="1">MMULT($A$9:$D$9,H8:H11)</f>
        <v>25</v>
      </c>
    </row>
    <row r="10" spans="1:12" x14ac:dyDescent="0.3">
      <c r="A10" s="12">
        <f ca="1">'Промежуточные вычисления'!C60</f>
        <v>0</v>
      </c>
      <c r="B10" s="12">
        <f ca="1">'Промежуточные вычисления'!D60</f>
        <v>0.75</v>
      </c>
      <c r="C10" s="12">
        <f ca="1">'Промежуточные вычисления'!E60</f>
        <v>1</v>
      </c>
      <c r="D10" s="12">
        <f ca="1">'Промежуточные вычисления'!F60</f>
        <v>0</v>
      </c>
      <c r="E10" s="13">
        <f ca="1">'Промежуточные вычисления'!C52</f>
        <v>0</v>
      </c>
      <c r="F10" s="13">
        <f ca="1">'Промежуточные вычисления'!D52</f>
        <v>0</v>
      </c>
      <c r="G10" s="13">
        <f ca="1">'Промежуточные вычисления'!E52</f>
        <v>4</v>
      </c>
      <c r="H10" s="13">
        <f ca="1">'Промежуточные вычисления'!F52</f>
        <v>0</v>
      </c>
      <c r="I10" s="7">
        <f ca="1">MMULT($A$10:$D$10,E8:E11)</f>
        <v>0</v>
      </c>
      <c r="J10" s="7">
        <f ca="1">MMULT($A$10:$D$10,F8:F11)</f>
        <v>12</v>
      </c>
      <c r="K10" s="7">
        <f ca="1">MMULT($A$10:$D$10,G8:G11)</f>
        <v>13</v>
      </c>
      <c r="L10" s="7">
        <f ca="1">MMULT($A$10:$D$10,H8:H11)</f>
        <v>3</v>
      </c>
    </row>
    <row r="11" spans="1:12" x14ac:dyDescent="0.3">
      <c r="A11" s="12">
        <f ca="1">'Промежуточные вычисления'!C61</f>
        <v>1</v>
      </c>
      <c r="B11" s="12">
        <f ca="1">'Промежуточные вычисления'!D61</f>
        <v>0.25</v>
      </c>
      <c r="C11" s="12">
        <f ca="1">'Промежуточные вычисления'!E61</f>
        <v>0</v>
      </c>
      <c r="D11" s="12">
        <f ca="1">'Промежуточные вычисления'!F61</f>
        <v>1</v>
      </c>
      <c r="E11" s="13">
        <f ca="1">'Промежуточные вычисления'!C53</f>
        <v>0</v>
      </c>
      <c r="F11" s="13">
        <f ca="1">'Промежуточные вычисления'!D53</f>
        <v>0</v>
      </c>
      <c r="G11" s="13">
        <f ca="1">'Промежуточные вычисления'!E53</f>
        <v>0</v>
      </c>
      <c r="H11" s="13">
        <f ca="1">'Промежуточные вычисления'!F53</f>
        <v>81</v>
      </c>
      <c r="I11" s="7">
        <f ca="1">MMULT($A$11:$D$11,E8:E11)</f>
        <v>49</v>
      </c>
      <c r="J11" s="7">
        <f ca="1">MMULT($A$11:$D$11,F8:F11)</f>
        <v>25</v>
      </c>
      <c r="K11" s="7">
        <f ca="1">MMULT($A$11:$D$11,G8:G11)</f>
        <v>3</v>
      </c>
      <c r="L11" s="7">
        <f ca="1">MMULT($A$11:$D$11,H8:H11)</f>
        <v>131</v>
      </c>
    </row>
    <row r="12" spans="1:12" x14ac:dyDescent="0.3">
      <c r="A12" s="21" t="s">
        <v>4</v>
      </c>
      <c r="B12" s="21"/>
      <c r="C12" s="21"/>
      <c r="D12" s="21"/>
      <c r="E12" s="21"/>
      <c r="F12" s="21"/>
      <c r="G12" s="21"/>
      <c r="H12" s="21"/>
      <c r="I12" s="21" t="s">
        <v>5</v>
      </c>
      <c r="J12" s="21"/>
      <c r="K12" s="21"/>
      <c r="L12" s="21"/>
    </row>
    <row r="13" spans="1:12" x14ac:dyDescent="0.3">
      <c r="A13" s="32" t="s">
        <v>1</v>
      </c>
      <c r="B13" s="32"/>
      <c r="C13" s="32"/>
      <c r="D13" s="32"/>
      <c r="E13" s="33" t="s">
        <v>2</v>
      </c>
      <c r="F13" s="33"/>
      <c r="G13" s="33"/>
      <c r="H13" s="33"/>
      <c r="I13" s="34" t="s">
        <v>6</v>
      </c>
      <c r="J13" s="34"/>
      <c r="K13" s="34"/>
      <c r="L13" s="34"/>
    </row>
    <row r="14" spans="1:12" x14ac:dyDescent="0.3">
      <c r="A14" s="12">
        <f>SQRT(A2)</f>
        <v>7</v>
      </c>
      <c r="B14" s="12">
        <v>0</v>
      </c>
      <c r="C14" s="12">
        <v>0</v>
      </c>
      <c r="D14" s="12">
        <v>0</v>
      </c>
      <c r="E14" s="13">
        <f>SQRT(A2)</f>
        <v>7</v>
      </c>
      <c r="F14" s="13">
        <f>$A$3/$A$14</f>
        <v>3</v>
      </c>
      <c r="G14" s="13">
        <f>$A$4/$A$14</f>
        <v>0</v>
      </c>
      <c r="H14" s="13">
        <f>$A$5/$A$14</f>
        <v>7</v>
      </c>
      <c r="I14" s="7">
        <f>MMULT($A$14:$D$14,E14:E17)</f>
        <v>49</v>
      </c>
      <c r="J14" s="7">
        <f t="shared" ref="J14:L14" si="0">MMULT($A$14:$D$14,F14:F17)</f>
        <v>21</v>
      </c>
      <c r="K14" s="7">
        <f t="shared" si="0"/>
        <v>0</v>
      </c>
      <c r="L14" s="7">
        <f t="shared" si="0"/>
        <v>49</v>
      </c>
    </row>
    <row r="15" spans="1:12" x14ac:dyDescent="0.3">
      <c r="A15" s="12">
        <f>$A$3/$A$14</f>
        <v>3</v>
      </c>
      <c r="B15" s="12">
        <f>SQRT($B$3-$A$15^2)</f>
        <v>4</v>
      </c>
      <c r="C15" s="12">
        <v>0</v>
      </c>
      <c r="D15" s="12">
        <v>0</v>
      </c>
      <c r="E15" s="13">
        <v>0</v>
      </c>
      <c r="F15" s="13">
        <f>SQRT(1-E15^2)</f>
        <v>1</v>
      </c>
      <c r="G15" s="13">
        <f>($B3-$A$16*$A$15)/$B$15</f>
        <v>6.25</v>
      </c>
      <c r="H15" s="13">
        <f>($B$5-$A$17*$A$15)/$B$15</f>
        <v>1</v>
      </c>
      <c r="I15" s="7">
        <f>MMULT($A$15:$D$15,E14:E17)</f>
        <v>21</v>
      </c>
      <c r="J15" s="7">
        <f>MMULT($A$15:$D$15,F14:F17)</f>
        <v>13</v>
      </c>
      <c r="K15" s="7">
        <f>MMULT($A$15:$D$15,G14:G17)</f>
        <v>25</v>
      </c>
      <c r="L15" s="7">
        <f>MMULT($A$15:$D$15,H14:H17)</f>
        <v>25</v>
      </c>
    </row>
    <row r="16" spans="1:12" x14ac:dyDescent="0.3">
      <c r="A16" s="12">
        <f>$A$4/$A$14</f>
        <v>0</v>
      </c>
      <c r="B16" s="12">
        <f>($B4-$A$16*$A$15)/$B$15</f>
        <v>3</v>
      </c>
      <c r="C16" s="12">
        <f>SQRT($C$4-($A$16^2+$B$16^2))</f>
        <v>2</v>
      </c>
      <c r="D16" s="12">
        <v>0</v>
      </c>
      <c r="E16" s="13">
        <v>0</v>
      </c>
      <c r="F16" s="13">
        <v>0</v>
      </c>
      <c r="G16" s="13">
        <f>SQRT($C$4-($A$16^2+$B$16^2))</f>
        <v>2</v>
      </c>
      <c r="H16" s="13">
        <f>(($C$5-($A$17*$A$16+$B$16*$B$17))/$C$16)</f>
        <v>0</v>
      </c>
      <c r="I16" s="7">
        <f>MMULT($A$16:$D$16,E14:E17)</f>
        <v>0</v>
      </c>
      <c r="J16" s="7">
        <f>MMULT($A$16:$D$16,F14:F17)</f>
        <v>3</v>
      </c>
      <c r="K16" s="7">
        <f>MMULT($A$16:$D$16,G14:G17)</f>
        <v>22.75</v>
      </c>
      <c r="L16" s="7">
        <f>MMULT($A$16:$D$16,H14:H17)</f>
        <v>3</v>
      </c>
    </row>
    <row r="17" spans="1:12" x14ac:dyDescent="0.3">
      <c r="A17" s="12">
        <f>$A$5/$A$14</f>
        <v>7</v>
      </c>
      <c r="B17" s="12">
        <f>($B$5-$A$17*$A$15)/$B$15</f>
        <v>1</v>
      </c>
      <c r="C17" s="12">
        <f>(($C$5-($A$17*$A$16+$B$16*$B$17))/$C$16)</f>
        <v>0</v>
      </c>
      <c r="D17" s="12">
        <f>SQRT($D$5-($A$17^2+$C$17^2+$B$17^2))</f>
        <v>9</v>
      </c>
      <c r="E17" s="13">
        <v>0</v>
      </c>
      <c r="F17" s="13">
        <v>0</v>
      </c>
      <c r="G17" s="13">
        <v>0</v>
      </c>
      <c r="H17" s="13">
        <f>SQRT($D$5-($A$17^2+$C$17^2+$B$17^2))</f>
        <v>9</v>
      </c>
      <c r="I17" s="7">
        <f>MMULT($A$17:$D$17,E14:E17)</f>
        <v>49</v>
      </c>
      <c r="J17" s="7">
        <f>MMULT($A$17:$D$17,F14:F17)</f>
        <v>22</v>
      </c>
      <c r="K17" s="7">
        <f>MMULT($A$17:$D$17,G14:G17)</f>
        <v>6.25</v>
      </c>
      <c r="L17" s="7">
        <f>MMULT($A$17:$D$17,H14:H17)</f>
        <v>131</v>
      </c>
    </row>
    <row r="18" spans="1:12" x14ac:dyDescent="0.3">
      <c r="A18" s="27" t="s">
        <v>7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12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spans="1:12" x14ac:dyDescent="0.3">
      <c r="A21" s="28" t="s">
        <v>8</v>
      </c>
      <c r="B21" s="28"/>
      <c r="C21" s="28"/>
      <c r="D21" s="28"/>
      <c r="E21" s="29" t="s">
        <v>9</v>
      </c>
      <c r="F21" s="29"/>
      <c r="G21" s="29"/>
      <c r="H21" s="29"/>
      <c r="I21" s="27" t="s">
        <v>16</v>
      </c>
      <c r="J21" s="27"/>
      <c r="K21" s="27"/>
      <c r="L21" s="27"/>
    </row>
    <row r="22" spans="1:12" x14ac:dyDescent="0.3">
      <c r="A22" s="9">
        <f>$E2</f>
        <v>287</v>
      </c>
      <c r="B22" s="9">
        <f>$B2</f>
        <v>21</v>
      </c>
      <c r="C22" s="9">
        <f>$C2</f>
        <v>0</v>
      </c>
      <c r="D22" s="9">
        <f>$D2</f>
        <v>49</v>
      </c>
      <c r="E22" s="8">
        <f>$A2</f>
        <v>49</v>
      </c>
      <c r="F22" s="8">
        <f>$E2</f>
        <v>287</v>
      </c>
      <c r="G22" s="8">
        <f>$C2</f>
        <v>0</v>
      </c>
      <c r="H22" s="8">
        <f>$D2</f>
        <v>49</v>
      </c>
      <c r="I22" s="28" t="s">
        <v>12</v>
      </c>
      <c r="J22" s="28"/>
      <c r="K22" s="30">
        <f>MDETERM(A22:D25)/MDETERM($A$2:$D$5)</f>
        <v>3.0000000000000018</v>
      </c>
      <c r="L22" s="30"/>
    </row>
    <row r="23" spans="1:12" x14ac:dyDescent="0.3">
      <c r="A23" s="9">
        <f t="shared" ref="A23:A25" si="1">$E3</f>
        <v>247</v>
      </c>
      <c r="B23" s="9">
        <f t="shared" ref="B23:B25" si="2">$B3</f>
        <v>25</v>
      </c>
      <c r="C23" s="9">
        <f t="shared" ref="C23:C25" si="3">$C3</f>
        <v>12</v>
      </c>
      <c r="D23" s="9">
        <f t="shared" ref="D23:D25" si="4">$D3</f>
        <v>25</v>
      </c>
      <c r="E23" s="8">
        <f t="shared" ref="E23:E25" si="5">$A3</f>
        <v>21</v>
      </c>
      <c r="F23" s="8">
        <f t="shared" ref="F23:F25" si="6">$E3</f>
        <v>247</v>
      </c>
      <c r="G23" s="8">
        <f t="shared" ref="G23:G25" si="7">$C3</f>
        <v>12</v>
      </c>
      <c r="H23" s="8">
        <f t="shared" ref="H23:H25" si="8">$D3</f>
        <v>25</v>
      </c>
      <c r="I23" s="28"/>
      <c r="J23" s="28"/>
      <c r="K23" s="30"/>
      <c r="L23" s="30"/>
    </row>
    <row r="24" spans="1:12" x14ac:dyDescent="0.3">
      <c r="A24" s="9">
        <f t="shared" si="1"/>
        <v>121</v>
      </c>
      <c r="B24" s="9">
        <f t="shared" si="2"/>
        <v>12</v>
      </c>
      <c r="C24" s="9">
        <f t="shared" si="3"/>
        <v>13</v>
      </c>
      <c r="D24" s="9">
        <f t="shared" si="4"/>
        <v>3</v>
      </c>
      <c r="E24" s="8">
        <f t="shared" si="5"/>
        <v>0</v>
      </c>
      <c r="F24" s="8">
        <f t="shared" si="6"/>
        <v>121</v>
      </c>
      <c r="G24" s="8">
        <f t="shared" si="7"/>
        <v>13</v>
      </c>
      <c r="H24" s="8">
        <f t="shared" si="8"/>
        <v>3</v>
      </c>
      <c r="I24" s="29" t="s">
        <v>13</v>
      </c>
      <c r="J24" s="29"/>
      <c r="K24" s="31">
        <f>MDETERM(E22:H25)/MDETERM($A$2:$D$5)</f>
        <v>1.9999999999999991</v>
      </c>
      <c r="L24" s="31"/>
    </row>
    <row r="25" spans="1:12" x14ac:dyDescent="0.3">
      <c r="A25" s="9">
        <f t="shared" si="1"/>
        <v>480</v>
      </c>
      <c r="B25" s="9">
        <f t="shared" si="2"/>
        <v>25</v>
      </c>
      <c r="C25" s="9">
        <f t="shared" si="3"/>
        <v>3</v>
      </c>
      <c r="D25" s="9">
        <f t="shared" si="4"/>
        <v>131</v>
      </c>
      <c r="E25" s="8">
        <f t="shared" si="5"/>
        <v>49</v>
      </c>
      <c r="F25" s="8">
        <f t="shared" si="6"/>
        <v>480</v>
      </c>
      <c r="G25" s="8">
        <f t="shared" si="7"/>
        <v>3</v>
      </c>
      <c r="H25" s="8">
        <f t="shared" si="8"/>
        <v>131</v>
      </c>
      <c r="I25" s="29"/>
      <c r="J25" s="29"/>
      <c r="K25" s="31"/>
      <c r="L25" s="31"/>
    </row>
    <row r="26" spans="1:12" x14ac:dyDescent="0.3">
      <c r="A26" s="23" t="s">
        <v>10</v>
      </c>
      <c r="B26" s="23"/>
      <c r="C26" s="23"/>
      <c r="D26" s="23"/>
      <c r="E26" s="25" t="s">
        <v>11</v>
      </c>
      <c r="F26" s="25"/>
      <c r="G26" s="25"/>
      <c r="H26" s="25"/>
      <c r="I26" s="27" t="s">
        <v>16</v>
      </c>
      <c r="J26" s="27"/>
      <c r="K26" s="27"/>
      <c r="L26" s="27"/>
    </row>
    <row r="27" spans="1:12" x14ac:dyDescent="0.3">
      <c r="A27" s="10">
        <f>$A2</f>
        <v>49</v>
      </c>
      <c r="B27" s="10">
        <f>$B2</f>
        <v>21</v>
      </c>
      <c r="C27" s="10">
        <f>$E2</f>
        <v>287</v>
      </c>
      <c r="D27" s="10">
        <f>$D2</f>
        <v>49</v>
      </c>
      <c r="E27" s="11">
        <f>$A2</f>
        <v>49</v>
      </c>
      <c r="F27" s="11">
        <f>$B2</f>
        <v>21</v>
      </c>
      <c r="G27" s="11">
        <f>$C2</f>
        <v>0</v>
      </c>
      <c r="H27" s="11">
        <f>$E2</f>
        <v>287</v>
      </c>
      <c r="I27" s="23" t="s">
        <v>14</v>
      </c>
      <c r="J27" s="23"/>
      <c r="K27" s="24">
        <f>MDETERM(A27:D30)/MDETERM($A$2:$D$5)</f>
        <v>7</v>
      </c>
      <c r="L27" s="24"/>
    </row>
    <row r="28" spans="1:12" x14ac:dyDescent="0.3">
      <c r="A28" s="10">
        <f t="shared" ref="A28:A30" si="9">$A3</f>
        <v>21</v>
      </c>
      <c r="B28" s="10">
        <f t="shared" ref="B28:B30" si="10">$B3</f>
        <v>25</v>
      </c>
      <c r="C28" s="10">
        <f t="shared" ref="C28:C30" si="11">$E3</f>
        <v>247</v>
      </c>
      <c r="D28" s="10">
        <f t="shared" ref="D28:D30" si="12">$D3</f>
        <v>25</v>
      </c>
      <c r="E28" s="11">
        <f t="shared" ref="E28:E30" si="13">$A3</f>
        <v>21</v>
      </c>
      <c r="F28" s="11">
        <f t="shared" ref="F28:F30" si="14">$B3</f>
        <v>25</v>
      </c>
      <c r="G28" s="11">
        <f t="shared" ref="G28:G30" si="15">$C3</f>
        <v>12</v>
      </c>
      <c r="H28" s="11">
        <f t="shared" ref="H28:H30" si="16">$E3</f>
        <v>247</v>
      </c>
      <c r="I28" s="23"/>
      <c r="J28" s="23"/>
      <c r="K28" s="24"/>
      <c r="L28" s="24"/>
    </row>
    <row r="29" spans="1:12" x14ac:dyDescent="0.3">
      <c r="A29" s="10">
        <f t="shared" si="9"/>
        <v>0</v>
      </c>
      <c r="B29" s="10">
        <f t="shared" si="10"/>
        <v>12</v>
      </c>
      <c r="C29" s="10">
        <f t="shared" si="11"/>
        <v>121</v>
      </c>
      <c r="D29" s="10">
        <f t="shared" si="12"/>
        <v>3</v>
      </c>
      <c r="E29" s="11">
        <f t="shared" si="13"/>
        <v>0</v>
      </c>
      <c r="F29" s="11">
        <f t="shared" si="14"/>
        <v>12</v>
      </c>
      <c r="G29" s="11">
        <f t="shared" si="15"/>
        <v>13</v>
      </c>
      <c r="H29" s="11">
        <f t="shared" si="16"/>
        <v>121</v>
      </c>
      <c r="I29" s="25" t="s">
        <v>15</v>
      </c>
      <c r="J29" s="25"/>
      <c r="K29" s="26">
        <f>MDETERM(E27:H30)/MDETERM($A$2:$D$5)</f>
        <v>2</v>
      </c>
      <c r="L29" s="26"/>
    </row>
    <row r="30" spans="1:12" x14ac:dyDescent="0.3">
      <c r="A30" s="10">
        <f t="shared" si="9"/>
        <v>49</v>
      </c>
      <c r="B30" s="10">
        <f t="shared" si="10"/>
        <v>25</v>
      </c>
      <c r="C30" s="10">
        <f t="shared" si="11"/>
        <v>480</v>
      </c>
      <c r="D30" s="10">
        <f t="shared" si="12"/>
        <v>131</v>
      </c>
      <c r="E30" s="11">
        <f t="shared" si="13"/>
        <v>49</v>
      </c>
      <c r="F30" s="11">
        <f t="shared" si="14"/>
        <v>25</v>
      </c>
      <c r="G30" s="11">
        <f t="shared" si="15"/>
        <v>3</v>
      </c>
      <c r="H30" s="11">
        <f t="shared" si="16"/>
        <v>480</v>
      </c>
      <c r="I30" s="25"/>
      <c r="J30" s="25"/>
      <c r="K30" s="26"/>
      <c r="L30" s="26"/>
    </row>
    <row r="31" spans="1:12" ht="15" customHeight="1" x14ac:dyDescent="0.3">
      <c r="A31" s="20" t="s">
        <v>17</v>
      </c>
      <c r="B31" s="20"/>
      <c r="C31" s="20"/>
      <c r="D31" s="20"/>
      <c r="E31" s="20"/>
      <c r="F31" s="20"/>
      <c r="G31" s="20"/>
      <c r="H31" s="20"/>
    </row>
    <row r="32" spans="1:12" ht="15" customHeight="1" x14ac:dyDescent="0.3">
      <c r="A32" s="20"/>
      <c r="B32" s="20"/>
      <c r="C32" s="20"/>
      <c r="D32" s="20"/>
      <c r="E32" s="20"/>
      <c r="F32" s="20"/>
      <c r="G32" s="20"/>
      <c r="H32" s="20"/>
    </row>
    <row r="33" spans="1:12" ht="15" customHeight="1" x14ac:dyDescent="0.3">
      <c r="A33" s="20"/>
      <c r="B33" s="20"/>
      <c r="C33" s="20"/>
      <c r="D33" s="20"/>
      <c r="E33" s="20"/>
      <c r="F33" s="20"/>
      <c r="G33" s="20"/>
      <c r="H33" s="20"/>
    </row>
    <row r="34" spans="1:12" ht="15" customHeight="1" x14ac:dyDescent="0.3">
      <c r="A34" s="22" t="s">
        <v>18</v>
      </c>
      <c r="B34" s="22"/>
      <c r="C34" s="22"/>
      <c r="D34" s="22"/>
      <c r="E34" s="22"/>
      <c r="F34" s="22"/>
      <c r="G34" s="22"/>
      <c r="H34" s="22"/>
      <c r="I34" s="14"/>
      <c r="J34" s="14"/>
      <c r="K34" s="14"/>
      <c r="L34" s="14"/>
    </row>
    <row r="35" spans="1:12" x14ac:dyDescent="0.3">
      <c r="A35" s="22"/>
      <c r="B35" s="22"/>
      <c r="C35" s="22"/>
      <c r="D35" s="22"/>
      <c r="E35" s="22"/>
      <c r="F35" s="22"/>
      <c r="G35" s="22"/>
      <c r="H35" s="22"/>
      <c r="I35" s="14"/>
      <c r="J35" s="14"/>
      <c r="K35" s="14"/>
      <c r="L35" s="14"/>
    </row>
    <row r="36" spans="1:12" x14ac:dyDescent="0.3">
      <c r="A36" s="21" t="s">
        <v>4</v>
      </c>
      <c r="B36" s="21"/>
      <c r="C36" s="21"/>
      <c r="D36" s="21"/>
      <c r="E36" s="21"/>
      <c r="F36" s="21"/>
      <c r="G36" s="21"/>
      <c r="H36" s="21"/>
    </row>
    <row r="37" spans="1:12" x14ac:dyDescent="0.3">
      <c r="A37" s="15">
        <f>A17</f>
        <v>7</v>
      </c>
      <c r="B37" s="15">
        <f t="shared" ref="B37:D37" si="17">B17</f>
        <v>1</v>
      </c>
      <c r="C37" s="15">
        <f t="shared" si="17"/>
        <v>0</v>
      </c>
      <c r="D37" s="15">
        <f t="shared" si="17"/>
        <v>9</v>
      </c>
      <c r="E37" s="15">
        <f>$K$22</f>
        <v>3.0000000000000018</v>
      </c>
      <c r="F37" s="15">
        <f>$K$24</f>
        <v>1.9999999999999991</v>
      </c>
      <c r="G37" s="15">
        <f>$K$27</f>
        <v>7</v>
      </c>
      <c r="H37" s="15">
        <f>$K$29</f>
        <v>2</v>
      </c>
    </row>
    <row r="38" spans="1:12" x14ac:dyDescent="0.3">
      <c r="A38" s="21" t="s">
        <v>3</v>
      </c>
      <c r="B38" s="21"/>
      <c r="C38" s="21"/>
      <c r="D38" s="21"/>
      <c r="E38" s="21"/>
      <c r="F38" s="21"/>
      <c r="G38" s="21"/>
      <c r="H38" s="21"/>
    </row>
    <row r="39" spans="1:12" x14ac:dyDescent="0.3">
      <c r="A39" s="15">
        <f ca="1">A11</f>
        <v>1</v>
      </c>
      <c r="B39" s="15">
        <f t="shared" ref="B39:D39" ca="1" si="18">B11</f>
        <v>0.25</v>
      </c>
      <c r="C39" s="15">
        <f t="shared" ca="1" si="18"/>
        <v>0</v>
      </c>
      <c r="D39" s="15">
        <f t="shared" ca="1" si="18"/>
        <v>1</v>
      </c>
      <c r="E39" s="15">
        <f>$K$22</f>
        <v>3.0000000000000018</v>
      </c>
      <c r="F39" s="15">
        <f>$K$24</f>
        <v>1.9999999999999991</v>
      </c>
      <c r="G39" s="15">
        <f>$K$27</f>
        <v>7</v>
      </c>
      <c r="H39" s="15">
        <f>$K$29</f>
        <v>2</v>
      </c>
    </row>
  </sheetData>
  <mergeCells count="36">
    <mergeCell ref="E5:F5"/>
    <mergeCell ref="A7:D7"/>
    <mergeCell ref="E7:H7"/>
    <mergeCell ref="G1:H1"/>
    <mergeCell ref="A6:H6"/>
    <mergeCell ref="A1:D1"/>
    <mergeCell ref="E1:F1"/>
    <mergeCell ref="E2:F2"/>
    <mergeCell ref="E3:F3"/>
    <mergeCell ref="E4:F4"/>
    <mergeCell ref="A13:D13"/>
    <mergeCell ref="E13:H13"/>
    <mergeCell ref="I6:L6"/>
    <mergeCell ref="I7:L7"/>
    <mergeCell ref="I12:L12"/>
    <mergeCell ref="I13:L13"/>
    <mergeCell ref="A12:H12"/>
    <mergeCell ref="A18:L20"/>
    <mergeCell ref="A21:D21"/>
    <mergeCell ref="E21:H21"/>
    <mergeCell ref="A26:D26"/>
    <mergeCell ref="E26:H26"/>
    <mergeCell ref="K27:L28"/>
    <mergeCell ref="I29:J30"/>
    <mergeCell ref="K29:L30"/>
    <mergeCell ref="I21:L21"/>
    <mergeCell ref="I26:L26"/>
    <mergeCell ref="I22:J23"/>
    <mergeCell ref="I24:J25"/>
    <mergeCell ref="K22:L23"/>
    <mergeCell ref="K24:L25"/>
    <mergeCell ref="A31:H33"/>
    <mergeCell ref="A38:H38"/>
    <mergeCell ref="A36:H36"/>
    <mergeCell ref="A34:H35"/>
    <mergeCell ref="I27:J28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2C7D-155A-425B-BFDB-CE6677BC0C18}">
  <dimension ref="A1:Q28"/>
  <sheetViews>
    <sheetView topLeftCell="A10" workbookViewId="0">
      <selection activeCell="E27" sqref="E27:F28"/>
    </sheetView>
  </sheetViews>
  <sheetFormatPr defaultColWidth="9.109375" defaultRowHeight="15.6" x14ac:dyDescent="0.3"/>
  <cols>
    <col min="1" max="16384" width="9.109375" style="16"/>
  </cols>
  <sheetData>
    <row r="1" spans="1:17" x14ac:dyDescent="0.3">
      <c r="A1" s="40" t="s">
        <v>19</v>
      </c>
      <c r="B1" s="40"/>
      <c r="C1" s="39">
        <v>-9</v>
      </c>
      <c r="D1" s="39"/>
      <c r="E1" s="39"/>
      <c r="F1" s="39">
        <v>-3</v>
      </c>
      <c r="G1" s="39"/>
      <c r="H1" s="39"/>
      <c r="I1" s="39">
        <v>-1</v>
      </c>
      <c r="J1" s="39"/>
      <c r="K1" s="39"/>
      <c r="L1" s="39">
        <v>0</v>
      </c>
      <c r="M1" s="39"/>
      <c r="N1" s="39"/>
      <c r="O1" s="39">
        <v>4</v>
      </c>
      <c r="P1" s="39"/>
      <c r="Q1" s="39"/>
    </row>
    <row r="2" spans="1:17" x14ac:dyDescent="0.3">
      <c r="A2" s="40"/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40" t="s">
        <v>20</v>
      </c>
      <c r="B3" s="40"/>
      <c r="C3" s="39">
        <v>-3552</v>
      </c>
      <c r="D3" s="39"/>
      <c r="E3" s="39"/>
      <c r="F3" s="39">
        <v>-48</v>
      </c>
      <c r="G3" s="39"/>
      <c r="H3" s="39"/>
      <c r="I3" s="39">
        <v>16</v>
      </c>
      <c r="J3" s="39"/>
      <c r="K3" s="39"/>
      <c r="L3" s="39">
        <v>3</v>
      </c>
      <c r="M3" s="39"/>
      <c r="N3" s="39"/>
      <c r="O3" s="39">
        <v>491</v>
      </c>
      <c r="P3" s="39"/>
      <c r="Q3" s="39"/>
    </row>
    <row r="4" spans="1:17" x14ac:dyDescent="0.3">
      <c r="A4" s="40"/>
      <c r="B4" s="40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5" spans="1:17" x14ac:dyDescent="0.3">
      <c r="A5" s="40" t="s">
        <v>21</v>
      </c>
      <c r="B5" s="40"/>
      <c r="C5" s="40">
        <v>1286</v>
      </c>
      <c r="D5" s="40"/>
      <c r="E5" s="40"/>
      <c r="F5" s="40">
        <v>98</v>
      </c>
      <c r="G5" s="40"/>
      <c r="H5" s="40"/>
      <c r="I5" s="40">
        <v>-10</v>
      </c>
      <c r="J5" s="40"/>
      <c r="K5" s="40"/>
      <c r="L5" s="40">
        <v>-10</v>
      </c>
      <c r="M5" s="40"/>
      <c r="N5" s="40"/>
      <c r="O5" s="40">
        <v>350</v>
      </c>
      <c r="P5" s="40"/>
      <c r="Q5" s="40"/>
    </row>
    <row r="6" spans="1:17" x14ac:dyDescent="0.3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</row>
    <row r="7" spans="1:17" x14ac:dyDescent="0.3">
      <c r="A7" s="16" t="s">
        <v>23</v>
      </c>
    </row>
    <row r="8" spans="1:17" x14ac:dyDescent="0.3">
      <c r="A8" s="18" t="s">
        <v>24</v>
      </c>
    </row>
    <row r="9" spans="1:17" x14ac:dyDescent="0.3">
      <c r="A9" s="42" t="s">
        <v>32</v>
      </c>
      <c r="B9" s="42"/>
      <c r="C9" s="42"/>
      <c r="D9" s="42"/>
      <c r="E9" s="42"/>
      <c r="F9" s="42"/>
    </row>
    <row r="10" spans="1:17" x14ac:dyDescent="0.3">
      <c r="A10" s="40" t="s">
        <v>25</v>
      </c>
      <c r="B10" s="40"/>
      <c r="C10" s="40"/>
      <c r="D10" s="40"/>
      <c r="E10" s="40"/>
      <c r="F10" s="40"/>
      <c r="G10" s="40"/>
    </row>
    <row r="11" spans="1:17" x14ac:dyDescent="0.3">
      <c r="A11" s="16" t="s">
        <v>26</v>
      </c>
      <c r="C11" s="19"/>
      <c r="H11" s="17"/>
    </row>
    <row r="12" spans="1:17" x14ac:dyDescent="0.3">
      <c r="C12" s="19"/>
      <c r="G12" s="17"/>
      <c r="H12" s="17"/>
    </row>
    <row r="13" spans="1:17" x14ac:dyDescent="0.3">
      <c r="G13" s="17"/>
    </row>
    <row r="20" spans="1:8" x14ac:dyDescent="0.3">
      <c r="A20" s="16" t="s">
        <v>27</v>
      </c>
    </row>
    <row r="21" spans="1:8" x14ac:dyDescent="0.3">
      <c r="A21" s="39" t="s">
        <v>28</v>
      </c>
      <c r="B21" s="39"/>
      <c r="C21" s="39" t="s">
        <v>29</v>
      </c>
      <c r="D21" s="39"/>
      <c r="E21" s="39" t="s">
        <v>30</v>
      </c>
      <c r="F21" s="39"/>
      <c r="G21" s="39" t="s">
        <v>31</v>
      </c>
      <c r="H21" s="39"/>
    </row>
    <row r="22" spans="1:8" x14ac:dyDescent="0.3">
      <c r="A22" s="39">
        <v>6</v>
      </c>
      <c r="B22" s="39"/>
      <c r="C22" s="39">
        <v>9</v>
      </c>
      <c r="D22" s="39"/>
      <c r="E22" s="39">
        <v>-10</v>
      </c>
      <c r="F22" s="39"/>
      <c r="G22" s="39">
        <v>3</v>
      </c>
      <c r="H22" s="39"/>
    </row>
    <row r="23" spans="1:8" x14ac:dyDescent="0.3">
      <c r="A23" s="39"/>
      <c r="B23" s="39"/>
      <c r="C23" s="39"/>
      <c r="D23" s="39"/>
      <c r="E23" s="39"/>
      <c r="F23" s="39"/>
      <c r="G23" s="39"/>
      <c r="H23" s="39"/>
    </row>
    <row r="24" spans="1:8" x14ac:dyDescent="0.3">
      <c r="A24" s="39"/>
      <c r="B24" s="39"/>
      <c r="C24" s="39"/>
      <c r="D24" s="39"/>
      <c r="E24" s="39"/>
      <c r="F24" s="39"/>
      <c r="G24" s="39"/>
      <c r="H24" s="39"/>
    </row>
    <row r="25" spans="1:8" x14ac:dyDescent="0.3">
      <c r="A25" s="40" t="s">
        <v>22</v>
      </c>
      <c r="B25" s="40"/>
      <c r="C25" s="40"/>
      <c r="D25" s="40"/>
      <c r="E25" s="40">
        <v>2</v>
      </c>
      <c r="F25" s="40"/>
    </row>
    <row r="26" spans="1:8" x14ac:dyDescent="0.3">
      <c r="A26" s="40"/>
      <c r="B26" s="40"/>
      <c r="C26" s="40"/>
      <c r="D26" s="40"/>
      <c r="E26" s="40"/>
      <c r="F26" s="40"/>
    </row>
    <row r="27" spans="1:8" x14ac:dyDescent="0.3">
      <c r="A27" s="40" t="s">
        <v>17</v>
      </c>
      <c r="B27" s="40"/>
      <c r="C27" s="40"/>
      <c r="D27" s="40"/>
      <c r="E27" s="41">
        <f>G22+A22*E25^3+C22*E25^2+E22*E25</f>
        <v>67</v>
      </c>
      <c r="F27" s="41"/>
    </row>
    <row r="28" spans="1:8" x14ac:dyDescent="0.3">
      <c r="A28" s="40"/>
      <c r="B28" s="40"/>
      <c r="C28" s="40"/>
      <c r="D28" s="40"/>
      <c r="E28" s="41"/>
      <c r="F28" s="41"/>
    </row>
  </sheetData>
  <mergeCells count="32">
    <mergeCell ref="A1:B2"/>
    <mergeCell ref="A3:B4"/>
    <mergeCell ref="A5:B6"/>
    <mergeCell ref="C1:E2"/>
    <mergeCell ref="F1:H2"/>
    <mergeCell ref="C5:E6"/>
    <mergeCell ref="F5:H6"/>
    <mergeCell ref="L5:N6"/>
    <mergeCell ref="O5:Q6"/>
    <mergeCell ref="L1:N2"/>
    <mergeCell ref="O1:Q2"/>
    <mergeCell ref="C3:E4"/>
    <mergeCell ref="F3:H4"/>
    <mergeCell ref="I3:K4"/>
    <mergeCell ref="L3:N4"/>
    <mergeCell ref="O3:Q4"/>
    <mergeCell ref="I1:K2"/>
    <mergeCell ref="I5:K6"/>
    <mergeCell ref="A27:D28"/>
    <mergeCell ref="E27:F28"/>
    <mergeCell ref="A9:F9"/>
    <mergeCell ref="A10:G10"/>
    <mergeCell ref="A21:B21"/>
    <mergeCell ref="C21:D21"/>
    <mergeCell ref="E21:F21"/>
    <mergeCell ref="G21:H21"/>
    <mergeCell ref="A22:B24"/>
    <mergeCell ref="C22:D24"/>
    <mergeCell ref="E22:F24"/>
    <mergeCell ref="G22:H24"/>
    <mergeCell ref="A25:D26"/>
    <mergeCell ref="E25:F26"/>
  </mergeCells>
  <hyperlinks>
    <hyperlink ref="A8" r:id="rId1" xr:uid="{5AD85CE7-E013-485C-984C-B90535640BF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0563-9E5D-4A31-B749-693FC41A72B9}">
  <dimension ref="A1:N64"/>
  <sheetViews>
    <sheetView topLeftCell="A37" workbookViewId="0">
      <selection activeCell="I5" sqref="I5"/>
    </sheetView>
  </sheetViews>
  <sheetFormatPr defaultRowHeight="14.4" x14ac:dyDescent="0.3"/>
  <cols>
    <col min="9" max="10" width="9.109375" customWidth="1"/>
  </cols>
  <sheetData>
    <row r="1" spans="1:14" x14ac:dyDescent="0.3">
      <c r="C1" s="3">
        <v>1</v>
      </c>
      <c r="D1" s="3">
        <v>2</v>
      </c>
      <c r="E1" s="3">
        <v>3</v>
      </c>
      <c r="F1" s="3">
        <v>4</v>
      </c>
      <c r="G1" s="3"/>
      <c r="H1" s="3"/>
      <c r="I1" s="3"/>
    </row>
    <row r="2" spans="1:14" x14ac:dyDescent="0.3">
      <c r="A2" s="3">
        <v>1</v>
      </c>
      <c r="B2" s="4">
        <f ca="1">IF(A2&gt;=$N$2,OFFSET(C2,0,$N$2-1,1,1)/$M$2,0)</f>
        <v>1</v>
      </c>
      <c r="C2" s="1">
        <f>'Вопрос 1'!A2</f>
        <v>49</v>
      </c>
      <c r="D2" s="1">
        <f>'Вопрос 1'!B2</f>
        <v>21</v>
      </c>
      <c r="E2" s="1">
        <f>'Вопрос 1'!C2</f>
        <v>0</v>
      </c>
      <c r="F2" s="1">
        <f>'Вопрос 1'!D2</f>
        <v>49</v>
      </c>
      <c r="M2">
        <f ca="1">OFFSET(C2,N2-1,N2-1,1,1)</f>
        <v>49</v>
      </c>
      <c r="N2">
        <v>1</v>
      </c>
    </row>
    <row r="3" spans="1:14" x14ac:dyDescent="0.3">
      <c r="A3" s="3">
        <v>2</v>
      </c>
      <c r="B3" s="4">
        <f ca="1">IF(A3&gt;=$N$2,OFFSET(C3,0,$N$2-1,1,1)/$M$2,0)</f>
        <v>0.42857142857142855</v>
      </c>
      <c r="C3" s="1">
        <f>'Вопрос 1'!A3</f>
        <v>21</v>
      </c>
      <c r="D3" s="1">
        <f>'Вопрос 1'!B3</f>
        <v>25</v>
      </c>
      <c r="E3" s="1">
        <f>'Вопрос 1'!C3</f>
        <v>12</v>
      </c>
      <c r="F3" s="1">
        <f>'Вопрос 1'!D3</f>
        <v>25</v>
      </c>
    </row>
    <row r="4" spans="1:14" x14ac:dyDescent="0.3">
      <c r="A4" s="3">
        <v>3</v>
      </c>
      <c r="B4" s="4">
        <f ca="1">IF(A4&gt;=$N$2,OFFSET(C4,0,$N$2-1,1,1)/$M$2,0)</f>
        <v>0</v>
      </c>
      <c r="C4" s="1">
        <f>'Вопрос 1'!A4</f>
        <v>0</v>
      </c>
      <c r="D4" s="1">
        <f>'Вопрос 1'!B4</f>
        <v>12</v>
      </c>
      <c r="E4" s="1">
        <f>'Вопрос 1'!C4</f>
        <v>13</v>
      </c>
      <c r="F4" s="1">
        <f>'Вопрос 1'!D4</f>
        <v>3</v>
      </c>
    </row>
    <row r="5" spans="1:14" x14ac:dyDescent="0.3">
      <c r="A5" s="3">
        <v>4</v>
      </c>
      <c r="B5" s="4">
        <f ca="1">IF(A5&gt;=$N$2,OFFSET(C5,0,$N$2-1,1,1)/$M$2,0)</f>
        <v>1</v>
      </c>
      <c r="C5" s="1">
        <f>'Вопрос 1'!A5</f>
        <v>49</v>
      </c>
      <c r="D5" s="1">
        <f>'Вопрос 1'!B5</f>
        <v>25</v>
      </c>
      <c r="E5" s="1">
        <f>'Вопрос 1'!C5</f>
        <v>3</v>
      </c>
      <c r="F5" s="1">
        <f>'Вопрос 1'!D5</f>
        <v>131</v>
      </c>
    </row>
    <row r="6" spans="1:14" x14ac:dyDescent="0.3">
      <c r="A6" s="3"/>
      <c r="B6" s="4"/>
    </row>
    <row r="7" spans="1:14" x14ac:dyDescent="0.3">
      <c r="A7" s="3"/>
      <c r="B7" s="4"/>
    </row>
    <row r="8" spans="1:14" x14ac:dyDescent="0.3">
      <c r="A8" s="3"/>
      <c r="B8" s="4"/>
    </row>
    <row r="9" spans="1:14" x14ac:dyDescent="0.3">
      <c r="C9" s="3">
        <v>1</v>
      </c>
      <c r="D9" s="3">
        <v>2</v>
      </c>
      <c r="E9" s="3">
        <v>3</v>
      </c>
      <c r="F9" s="3">
        <v>4</v>
      </c>
      <c r="G9" s="3"/>
      <c r="H9" s="3"/>
      <c r="I9" s="3"/>
    </row>
    <row r="10" spans="1:14" x14ac:dyDescent="0.3">
      <c r="A10" s="3">
        <v>1</v>
      </c>
      <c r="B10" s="4">
        <f ca="1">IF(A10&gt;=N10,OFFSET(C10,0,N10-1,1,1)/M10,0)</f>
        <v>0</v>
      </c>
      <c r="C10">
        <f ca="1">IF(A2&lt;=N2,C2,-OFFSET(C2,N2-1,C9-1,1,1)/M2*
OFFSET(C2,A2-1,N2-1,1,1)+OFFSET(C2,A2-1,C9-1,1,1))</f>
        <v>49</v>
      </c>
      <c r="D10">
        <f ca="1">IF(A2&lt;=N2,D2,-OFFSET(C2,N2-1,D9-1,1,1)/M2*
OFFSET(C2,A2-1,N2-1,1,1)+OFFSET(C2,A2-1,D9-1,1,1))</f>
        <v>21</v>
      </c>
      <c r="E10">
        <f ca="1">IF(A2&lt;=N2,E2,-OFFSET(C2,N2-1,E9-1,1,1)/M2*
OFFSET(C2,A2-1,N2-1,1,1)+OFFSET(C2,A2-1,E9-1,1,1))</f>
        <v>0</v>
      </c>
      <c r="F10">
        <f ca="1">IF(A2&lt;=N2,F2,-OFFSET(C2,N2-1,F9-1,1,1)/M2*
OFFSET(C2,A2-1,N2-1,1,1)+OFFSET(C2,A2-1,F9-1,1,1))</f>
        <v>49</v>
      </c>
      <c r="M10">
        <f ca="1">OFFSET(C10,N10-1,N10-1,1,1)</f>
        <v>16</v>
      </c>
      <c r="N10">
        <f>N2+1</f>
        <v>2</v>
      </c>
    </row>
    <row r="11" spans="1:14" x14ac:dyDescent="0.3">
      <c r="A11" s="3">
        <v>2</v>
      </c>
      <c r="B11" s="4">
        <f ca="1">IF(A11&gt;=N10,OFFSET(C11,0,N10-1,1,1)/M10,0)</f>
        <v>1</v>
      </c>
      <c r="C11">
        <f ca="1">IF(A3&lt;=N2,C3,-OFFSET(C2,N2-1,C9-1,1,1)/M2*
OFFSET(C2,A3-1,N2-1,1,1)+OFFSET(C2,A3-1,C9-1,1,1))</f>
        <v>0</v>
      </c>
      <c r="D11">
        <f ca="1">IF(A3&lt;=N2,D3,-OFFSET(C2,N2-1,D9-1,1,1)/M2*
OFFSET(C2,A3-1,N2-1,1,1)+OFFSET(C2,A3-1,D9-1,1,1))</f>
        <v>16</v>
      </c>
      <c r="E11">
        <f ca="1">IF(A3&lt;=N2,E3,-OFFSET(C2,N2-1,E9-1,1,1)/M2*
OFFSET(C2,A3-1,N2-1,1,1)+OFFSET(C2,A3-1,E9-1,1,1))</f>
        <v>12</v>
      </c>
      <c r="F11">
        <f ca="1">IF(A3&lt;=N2,F3,-OFFSET(C2,N2-1,F9-1,1,1)/M2*
OFFSET(C2,A3-1,N2-1,1,1)+OFFSET(C2,A3-1,F9-1,1,1))</f>
        <v>4</v>
      </c>
    </row>
    <row r="12" spans="1:14" x14ac:dyDescent="0.3">
      <c r="A12" s="3">
        <v>3</v>
      </c>
      <c r="B12" s="4">
        <f ca="1">IF(A12&gt;=N10,OFFSET(C12,0,N10-1,1,1)/M10,0)</f>
        <v>0.75</v>
      </c>
      <c r="C12">
        <f ca="1">IF(A4&lt;=N2,C4,-OFFSET(C2,N2-1,C9-1,1,1)/M2*
OFFSET(C2,A4-1,N2-1,1,1)+OFFSET(C2,A4-1,C9-1,1,1))</f>
        <v>0</v>
      </c>
      <c r="D12">
        <f ca="1">IF(A4&lt;=N2,D4,-OFFSET(C2,N2-1,D9-1,1,1)/M2*
OFFSET(C2,A4-1,N2-1,1,1)+OFFSET(C2,A4-1,D9-1,1,1))</f>
        <v>12</v>
      </c>
      <c r="E12">
        <f ca="1">IF(A4&lt;=N2,E4,-OFFSET(C2,N2-1,E9-1,1,1)/M2*
OFFSET(C2,A4-1,N2-1,1,1)+OFFSET(C2,A4-1,E9-1,1,1))</f>
        <v>13</v>
      </c>
      <c r="F12">
        <f ca="1">IF(A4&lt;=N2,F4,-OFFSET(C2,N2-1,F9-1,1,1)/M2*
OFFSET(C2,A4-1,N2-1,1,1)+OFFSET(C2,A4-1,F9-1,1,1))</f>
        <v>3</v>
      </c>
    </row>
    <row r="13" spans="1:14" x14ac:dyDescent="0.3">
      <c r="A13" s="3">
        <v>4</v>
      </c>
      <c r="B13" s="4">
        <f ca="1">IF(A13&gt;=N10,OFFSET(C13,0,N10-1,1,1)/M10,0)</f>
        <v>0.25</v>
      </c>
      <c r="C13">
        <f ca="1">IF(A5&lt;=N2,C5,-OFFSET(C2,N2-1,C9-1,1,1)/M2*
OFFSET(C2,A5-1,N2-1,1,1)+OFFSET(C2,A5-1,C9-1,1,1))</f>
        <v>0</v>
      </c>
      <c r="D13">
        <f ca="1">IF(A5&lt;=N2,D5,-OFFSET(C2,N2-1,D9-1,1,1)/M2*
OFFSET(C2,A5-1,N2-1,1,1)+OFFSET(C2,A5-1,D9-1,1,1))</f>
        <v>4</v>
      </c>
      <c r="E13">
        <f ca="1">IF(A5&lt;=N2,E5,-OFFSET(C2,N2-1,E9-1,1,1)/M2*
OFFSET(C2,A5-1,N2-1,1,1)+OFFSET(C2,A5-1,E9-1,1,1))</f>
        <v>3</v>
      </c>
      <c r="F13">
        <f ca="1">IF(A5&lt;=N2,F5,-OFFSET(C2,N2-1,F9-1,1,1)/M2*
OFFSET(C2,A5-1,N2-1,1,1)+OFFSET(C2,A5-1,F9-1,1,1))</f>
        <v>82</v>
      </c>
    </row>
    <row r="14" spans="1:14" x14ac:dyDescent="0.3">
      <c r="A14" s="3"/>
      <c r="B14" s="4"/>
    </row>
    <row r="15" spans="1:14" x14ac:dyDescent="0.3">
      <c r="A15" s="3"/>
      <c r="B15" s="4"/>
    </row>
    <row r="16" spans="1:14" x14ac:dyDescent="0.3">
      <c r="A16" s="3"/>
      <c r="B16" s="4"/>
    </row>
    <row r="17" spans="1:14" x14ac:dyDescent="0.3">
      <c r="C17" s="3">
        <v>1</v>
      </c>
      <c r="D17" s="3">
        <v>2</v>
      </c>
      <c r="E17" s="3">
        <v>3</v>
      </c>
      <c r="F17" s="3">
        <v>4</v>
      </c>
      <c r="G17" s="3"/>
      <c r="H17" s="3"/>
      <c r="I17" s="3"/>
    </row>
    <row r="18" spans="1:14" x14ac:dyDescent="0.3">
      <c r="A18" s="3">
        <v>1</v>
      </c>
      <c r="B18" s="4">
        <f ca="1">IF(A18&gt;=N18,OFFSET(C18,0,N18-1,1,1)/M18,0)</f>
        <v>0</v>
      </c>
      <c r="C18">
        <f ca="1">IF(A10&lt;=N10,C10,-OFFSET(C10,N10-1,C17-1,1,1)/M10*
OFFSET(C10,A10-1,N10-1,1,1)+OFFSET(C10,A10-1,C17-1,1,1))</f>
        <v>49</v>
      </c>
      <c r="D18">
        <f ca="1">IF(A10&lt;=N10,D10,-OFFSET(C10,N10-1,D17-1,1,1)/M10*
OFFSET(C10,A10-1,N10-1,1,1)+OFFSET(C10,A10-1,D17-1,1,1))</f>
        <v>21</v>
      </c>
      <c r="E18">
        <f ca="1">IF(A10&lt;=N10,E10,-OFFSET(C10,N10-1,E17-1,1,1)/M10*
OFFSET(C10,A10-1,N10-1,1,1)+OFFSET(C10,A10-1,E17-1,1,1))</f>
        <v>0</v>
      </c>
      <c r="F18">
        <f ca="1">IF(A10&lt;=N10,F10,-OFFSET(C10,N10-1,F17-1,1,1)/M10*
OFFSET(C10,A10-1,N10-1,1,1)+OFFSET(C10,A10-1,F17-1,1,1))</f>
        <v>49</v>
      </c>
      <c r="M18">
        <f ca="1">OFFSET(C18,N18-1,N18-1,1,1)</f>
        <v>4</v>
      </c>
      <c r="N18">
        <f>N10+1</f>
        <v>3</v>
      </c>
    </row>
    <row r="19" spans="1:14" x14ac:dyDescent="0.3">
      <c r="A19" s="3">
        <v>2</v>
      </c>
      <c r="B19" s="4">
        <f ca="1">IF(A19&gt;=N18,OFFSET(C19,0,N18-1,1,1)/M18,0)</f>
        <v>0</v>
      </c>
      <c r="C19">
        <f ca="1">IF(A11&lt;=N10,C11,-OFFSET(C10,N10-1,C17-1,1,1)/M10*
OFFSET(C10,A11-1,N10-1,1,1)+OFFSET(C10,A11-1,C17-1,1,1))</f>
        <v>0</v>
      </c>
      <c r="D19">
        <f ca="1">IF(A11&lt;=N10,D11,-OFFSET(C10,N10-1,D17-1,1,1)/M10*
OFFSET(C10,A11-1,N10-1,1,1)+OFFSET(C10,A11-1,D17-1,1,1))</f>
        <v>16</v>
      </c>
      <c r="E19">
        <f ca="1">IF(A11&lt;=N10,E11,-OFFSET(C10,N10-1,E17-1,1,1)/M10*
OFFSET(C10,A11-1,N10-1,1,1)+OFFSET(C10,A11-1,E17-1,1,1))</f>
        <v>12</v>
      </c>
      <c r="F19">
        <f ca="1">IF(A11&lt;=N10,F11,-OFFSET(C10,N10-1,F17-1,1,1)/M10*
OFFSET(C10,A11-1,N10-1,1,1)+OFFSET(C10,A11-1,F17-1,1,1))</f>
        <v>4</v>
      </c>
    </row>
    <row r="20" spans="1:14" x14ac:dyDescent="0.3">
      <c r="A20" s="3">
        <v>3</v>
      </c>
      <c r="B20" s="4">
        <f ca="1">IF(A20&gt;=N18,OFFSET(C20,0,N18-1,1,1)/M18,0)</f>
        <v>1</v>
      </c>
      <c r="C20">
        <f ca="1">IF(A12&lt;=N10,C12,-OFFSET(C10,N10-1,C17-1,1,1)/M10*
OFFSET(C10,A12-1,N10-1,1,1)+OFFSET(C10,A12-1,C17-1,1,1))</f>
        <v>0</v>
      </c>
      <c r="D20">
        <f ca="1">IF(A12&lt;=N10,D12,-OFFSET(C10,N10-1,D17-1,1,1)/M10*
OFFSET(C10,A12-1,N10-1,1,1)+OFFSET(C10,A12-1,D17-1,1,1))</f>
        <v>0</v>
      </c>
      <c r="E20">
        <f ca="1">IF(A12&lt;=N10,E12,-OFFSET(C10,N10-1,E17-1,1,1)/M10*
OFFSET(C10,A12-1,N10-1,1,1)+OFFSET(C10,A12-1,E17-1,1,1))</f>
        <v>4</v>
      </c>
      <c r="F20">
        <f ca="1">IF(A12&lt;=N10,F12,-OFFSET(C10,N10-1,F17-1,1,1)/M10*
OFFSET(C10,A12-1,N10-1,1,1)+OFFSET(C10,A12-1,F17-1,1,1))</f>
        <v>0</v>
      </c>
    </row>
    <row r="21" spans="1:14" x14ac:dyDescent="0.3">
      <c r="A21" s="3">
        <v>4</v>
      </c>
      <c r="B21" s="4">
        <f ca="1">IF(A21&gt;=N18,OFFSET(C21,0,N18-1,1,1)/M18,0)</f>
        <v>0</v>
      </c>
      <c r="C21">
        <f ca="1">IF(A13&lt;=N10,C13,-OFFSET(C10,N10-1,C17-1,1,1)/M10*
OFFSET(C10,A13-1,N10-1,1,1)+OFFSET(C10,A13-1,C17-1,1,1))</f>
        <v>0</v>
      </c>
      <c r="D21">
        <f ca="1">IF(A13&lt;=N10,D13,-OFFSET(C10,N10-1,D17-1,1,1)/M10*
OFFSET(C10,A13-1,N10-1,1,1)+OFFSET(C10,A13-1,D17-1,1,1))</f>
        <v>0</v>
      </c>
      <c r="E21">
        <f ca="1">IF(A13&lt;=N10,E13,-OFFSET(C10,N10-1,E17-1,1,1)/M10*
OFFSET(C10,A13-1,N10-1,1,1)+OFFSET(C10,A13-1,E17-1,1,1))</f>
        <v>0</v>
      </c>
      <c r="F21">
        <f ca="1">IF(A13&lt;=N10,F13,-OFFSET(C10,N10-1,F17-1,1,1)/M10*
OFFSET(C10,A13-1,N10-1,1,1)+OFFSET(C10,A13-1,F17-1,1,1))</f>
        <v>81</v>
      </c>
    </row>
    <row r="22" spans="1:14" x14ac:dyDescent="0.3">
      <c r="A22" s="3"/>
      <c r="B22" s="4"/>
    </row>
    <row r="23" spans="1:14" x14ac:dyDescent="0.3">
      <c r="A23" s="3"/>
      <c r="B23" s="4"/>
    </row>
    <row r="24" spans="1:14" x14ac:dyDescent="0.3">
      <c r="A24" s="3"/>
      <c r="B24" s="4"/>
    </row>
    <row r="25" spans="1:14" x14ac:dyDescent="0.3">
      <c r="C25" s="3">
        <v>1</v>
      </c>
      <c r="D25" s="3">
        <v>2</v>
      </c>
      <c r="E25" s="3">
        <v>3</v>
      </c>
      <c r="F25" s="3">
        <v>4</v>
      </c>
      <c r="G25" s="3"/>
      <c r="H25" s="3"/>
      <c r="I25" s="3"/>
    </row>
    <row r="26" spans="1:14" x14ac:dyDescent="0.3">
      <c r="A26" s="3">
        <v>1</v>
      </c>
      <c r="B26" s="4">
        <f ca="1">IF(A26&gt;=N26,OFFSET(C26,0,N26-1,1,1)/M26,0)</f>
        <v>0</v>
      </c>
      <c r="C26">
        <f ca="1">IF(A18&lt;=N18,C18,-OFFSET(C18,N18-1,C25-1,1,1)/M18*
OFFSET(C18,A18-1,N18-1,1,1)+OFFSET(C18,A18-1,C25-1,1,1))</f>
        <v>49</v>
      </c>
      <c r="D26">
        <f ca="1">IF(A18&lt;=N18,D18,-OFFSET(C18,N18-1,D25-1,1,1)/M18*
OFFSET(C18,A18-1,N18-1,1,1)+OFFSET(C18,A18-1,D25-1,1,1))</f>
        <v>21</v>
      </c>
      <c r="E26">
        <f ca="1">IF(A18&lt;=N18,E18,-OFFSET(C18,N18-1,E25-1,1,1)/M18*
OFFSET(C18,A18-1,N18-1,1,1)+OFFSET(C18,A18-1,E25-1,1,1))</f>
        <v>0</v>
      </c>
      <c r="F26">
        <f ca="1">IF(A18&lt;=N18,F18,-OFFSET(C18,N18-1,F25-1,1,1)/M18*
OFFSET(C18,A18-1,N18-1,1,1)+OFFSET(C18,A18-1,F25-1,1,1))</f>
        <v>49</v>
      </c>
      <c r="M26">
        <f ca="1">OFFSET(C26,N26-1,N26-1,1,1)</f>
        <v>81</v>
      </c>
      <c r="N26">
        <f>N18+1</f>
        <v>4</v>
      </c>
    </row>
    <row r="27" spans="1:14" x14ac:dyDescent="0.3">
      <c r="A27" s="3">
        <v>2</v>
      </c>
      <c r="B27" s="4">
        <f ca="1">IF(A27&gt;=N26,OFFSET(C27,0,N26-1,1,1)/M26,0)</f>
        <v>0</v>
      </c>
      <c r="C27">
        <f ca="1">IF(A19&lt;=N18,C19,-OFFSET(C18,N18-1,C25-1,1,1)/M18*
OFFSET(C18,A19-1,N18-1,1,1)+OFFSET(C18,A19-1,C25-1,1,1))</f>
        <v>0</v>
      </c>
      <c r="D27">
        <f ca="1">IF(A19&lt;=N18,D19,-OFFSET(C18,N18-1,D25-1,1,1)/M18*
OFFSET(C18,A19-1,N18-1,1,1)+OFFSET(C18,A19-1,D25-1,1,1))</f>
        <v>16</v>
      </c>
      <c r="E27">
        <f ca="1">IF(A19&lt;=N18,E19,-OFFSET(C18,N18-1,E25-1,1,1)/M18*
OFFSET(C18,A19-1,N18-1,1,1)+OFFSET(C18,A19-1,E25-1,1,1))</f>
        <v>12</v>
      </c>
      <c r="F27">
        <f ca="1">IF(A19&lt;=N18,F19,-OFFSET(C18,N18-1,F25-1,1,1)/M18*
OFFSET(C18,A19-1,N18-1,1,1)+OFFSET(C18,A19-1,F25-1,1,1))</f>
        <v>4</v>
      </c>
    </row>
    <row r="28" spans="1:14" x14ac:dyDescent="0.3">
      <c r="A28" s="3">
        <v>3</v>
      </c>
      <c r="B28" s="4">
        <f ca="1">IF(A28&gt;=N26,OFFSET(C28,0,N26-1,1,1)/M26,0)</f>
        <v>0</v>
      </c>
      <c r="C28">
        <f ca="1">IF(A20&lt;=N18,C20,-OFFSET(C18,N18-1,C25-1,1,1)/M18*
OFFSET(C18,A20-1,N18-1,1,1)+OFFSET(C18,A20-1,C25-1,1,1))</f>
        <v>0</v>
      </c>
      <c r="D28">
        <f ca="1">IF(A20&lt;=N18,D20,-OFFSET(C18,N18-1,D25-1,1,1)/M18*
OFFSET(C18,A20-1,N18-1,1,1)+OFFSET(C18,A20-1,D25-1,1,1))</f>
        <v>0</v>
      </c>
      <c r="E28">
        <f ca="1">IF(A20&lt;=N18,E20,-OFFSET(C18,N18-1,E25-1,1,1)/M18*
OFFSET(C18,A20-1,N18-1,1,1)+OFFSET(C18,A20-1,E25-1,1,1))</f>
        <v>4</v>
      </c>
      <c r="F28">
        <f ca="1">IF(A20&lt;=N18,F20,-OFFSET(C18,N18-1,F25-1,1,1)/M18*
OFFSET(C18,A20-1,N18-1,1,1)+OFFSET(C18,A20-1,F25-1,1,1))</f>
        <v>0</v>
      </c>
    </row>
    <row r="29" spans="1:14" x14ac:dyDescent="0.3">
      <c r="A29" s="3">
        <v>4</v>
      </c>
      <c r="B29" s="4">
        <f ca="1">IF(A29&gt;=N26,OFFSET(C29,0,N26-1,1,1)/M26,0)</f>
        <v>1</v>
      </c>
      <c r="C29">
        <f ca="1">IF(A21&lt;=N18,C21,-OFFSET(C18,N18-1,C25-1,1,1)/M18*
OFFSET(C18,A21-1,N18-1,1,1)+OFFSET(C18,A21-1,C25-1,1,1))</f>
        <v>0</v>
      </c>
      <c r="D29">
        <f ca="1">IF(A21&lt;=N18,D21,-OFFSET(C18,N18-1,D25-1,1,1)/M18*
OFFSET(C18,A21-1,N18-1,1,1)+OFFSET(C18,A21-1,D25-1,1,1))</f>
        <v>0</v>
      </c>
      <c r="E29">
        <f ca="1">IF(A21&lt;=N18,E21,-OFFSET(C18,N18-1,E25-1,1,1)/M18*
OFFSET(C18,A21-1,N18-1,1,1)+OFFSET(C18,A21-1,E25-1,1,1))</f>
        <v>0</v>
      </c>
      <c r="F29">
        <f ca="1">IF(A21&lt;=N18,F21,-OFFSET(C18,N18-1,F25-1,1,1)/M18*
OFFSET(C18,A21-1,N18-1,1,1)+OFFSET(C18,A21-1,F25-1,1,1))</f>
        <v>81</v>
      </c>
    </row>
    <row r="30" spans="1:14" x14ac:dyDescent="0.3">
      <c r="A30" s="3"/>
      <c r="B30" s="4"/>
    </row>
    <row r="31" spans="1:14" x14ac:dyDescent="0.3">
      <c r="A31" s="3"/>
      <c r="B31" s="4"/>
    </row>
    <row r="32" spans="1:14" x14ac:dyDescent="0.3">
      <c r="A32" s="3"/>
      <c r="B32" s="4"/>
    </row>
    <row r="33" spans="1:14" x14ac:dyDescent="0.3">
      <c r="C33" s="3">
        <v>1</v>
      </c>
      <c r="D33" s="3">
        <v>2</v>
      </c>
      <c r="E33" s="3">
        <v>3</v>
      </c>
      <c r="F33" s="3">
        <v>4</v>
      </c>
      <c r="G33" s="3"/>
      <c r="H33" s="3"/>
      <c r="I33" s="3"/>
    </row>
    <row r="34" spans="1:14" x14ac:dyDescent="0.3">
      <c r="A34" s="3">
        <v>1</v>
      </c>
      <c r="B34" s="4">
        <f ca="1">IF(A34&gt;=N34,OFFSET(C34,0,N34-1,1,1)/M34,0)</f>
        <v>0</v>
      </c>
      <c r="C34">
        <f ca="1">IF(A26&lt;=N26,C26,-OFFSET(C26,N26-1,C33-1,1,1)/M26*
OFFSET(C26,A26-1,N26-1,1,1)+OFFSET(C26,A26-1,C33-1,1,1))</f>
        <v>49</v>
      </c>
      <c r="D34">
        <f ca="1">IF(A26&lt;=N26,D26,-OFFSET(C26,N26-1,D33-1,1,1)/M26*
OFFSET(C26,A26-1,N26-1,1,1)+OFFSET(C26,A26-1,D33-1,1,1))</f>
        <v>21</v>
      </c>
      <c r="E34">
        <f ca="1">IF(A26&lt;=N26,E26,-OFFSET(C26,N26-1,E33-1,1,1)/M26*
OFFSET(C26,A26-1,N26-1,1,1)+OFFSET(C26,A26-1,E33-1,1,1))</f>
        <v>0</v>
      </c>
      <c r="F34">
        <f ca="1">IF(A26&lt;=N26,F26,-OFFSET(C26,N26-1,F33-1,1,1)/M26*
OFFSET(C26,A26-1,N26-1,1,1)+OFFSET(C26,A26-1,F33-1,1,1))</f>
        <v>49</v>
      </c>
      <c r="M34">
        <f ca="1">OFFSET(C34,N34-1,N34-1,1,1)</f>
        <v>0</v>
      </c>
      <c r="N34">
        <f>N26+1</f>
        <v>5</v>
      </c>
    </row>
    <row r="35" spans="1:14" x14ac:dyDescent="0.3">
      <c r="A35" s="3">
        <v>2</v>
      </c>
      <c r="B35" s="4">
        <f ca="1">IF(A35&gt;=N34,OFFSET(C35,0,N34-1,1,1)/M34,0)</f>
        <v>0</v>
      </c>
      <c r="C35">
        <f ca="1">IF(A27&lt;=N26,C27,-OFFSET(C26,N26-1,C33-1,1,1)/M26*
OFFSET(C26,A27-1,N26-1,1,1)+OFFSET(C26,A27-1,C33-1,1,1))</f>
        <v>0</v>
      </c>
      <c r="D35">
        <f ca="1">IF(A27&lt;=N26,D27,-OFFSET(C26,N26-1,D33-1,1,1)/M26*
OFFSET(C26,A27-1,N26-1,1,1)+OFFSET(C26,A27-1,D33-1,1,1))</f>
        <v>16</v>
      </c>
      <c r="E35">
        <f ca="1">IF(A27&lt;=N26,E27,-OFFSET(C26,N26-1,E33-1,1,1)/M26*
OFFSET(C26,A27-1,N26-1,1,1)+OFFSET(C26,A27-1,E33-1,1,1))</f>
        <v>12</v>
      </c>
      <c r="F35">
        <f ca="1">IF(A27&lt;=N26,F27,-OFFSET(C26,N26-1,F33-1,1,1)/M26*
OFFSET(C26,A27-1,N26-1,1,1)+OFFSET(C26,A27-1,F33-1,1,1))</f>
        <v>4</v>
      </c>
    </row>
    <row r="36" spans="1:14" x14ac:dyDescent="0.3">
      <c r="A36" s="3">
        <v>3</v>
      </c>
      <c r="B36" s="4">
        <f ca="1">IF(A36&gt;=N34,OFFSET(C36,0,N34-1,1,1)/M34,0)</f>
        <v>0</v>
      </c>
      <c r="C36">
        <f ca="1">IF(A28&lt;=N26,C28,-OFFSET(C26,N26-1,C33-1,1,1)/M26*
OFFSET(C26,A28-1,N26-1,1,1)+OFFSET(C26,A28-1,C33-1,1,1))</f>
        <v>0</v>
      </c>
      <c r="D36">
        <f ca="1">IF(A28&lt;=N26,D28,-OFFSET(C26,N26-1,D33-1,1,1)/M26*
OFFSET(C26,A28-1,N26-1,1,1)+OFFSET(C26,A28-1,D33-1,1,1))</f>
        <v>0</v>
      </c>
      <c r="E36">
        <f ca="1">IF(A28&lt;=N26,E28,-OFFSET(C26,N26-1,E33-1,1,1)/M26*
OFFSET(C26,A28-1,N26-1,1,1)+OFFSET(C26,A28-1,E33-1,1,1))</f>
        <v>4</v>
      </c>
      <c r="F36">
        <f ca="1">IF(A28&lt;=N26,F28,-OFFSET(C26,N26-1,F33-1,1,1)/M26*
OFFSET(C26,A28-1,N26-1,1,1)+OFFSET(C26,A28-1,F33-1,1,1))</f>
        <v>0</v>
      </c>
    </row>
    <row r="37" spans="1:14" x14ac:dyDescent="0.3">
      <c r="A37" s="3">
        <v>4</v>
      </c>
      <c r="B37" s="4">
        <f ca="1">IF(A37&gt;=N34,OFFSET(C37,0,N34-1,1,1)/M34,0)</f>
        <v>0</v>
      </c>
      <c r="C37">
        <f ca="1">IF(A29&lt;=N26,C29,-OFFSET(C26,N26-1,C33-1,1,1)/M26*
OFFSET(C26,A29-1,N26-1,1,1)+OFFSET(C26,A29-1,C33-1,1,1))</f>
        <v>0</v>
      </c>
      <c r="D37">
        <f ca="1">IF(A29&lt;=N26,D29,-OFFSET(C26,N26-1,D33-1,1,1)/M26*
OFFSET(C26,A29-1,N26-1,1,1)+OFFSET(C26,A29-1,D33-1,1,1))</f>
        <v>0</v>
      </c>
      <c r="E37">
        <f ca="1">IF(A29&lt;=N26,E29,-OFFSET(C26,N26-1,E33-1,1,1)/M26*
OFFSET(C26,A29-1,N26-1,1,1)+OFFSET(C26,A29-1,E33-1,1,1))</f>
        <v>0</v>
      </c>
      <c r="F37">
        <f ca="1">IF(A29&lt;=N26,F29,-OFFSET(C26,N26-1,F33-1,1,1)/M26*
OFFSET(C26,A29-1,N26-1,1,1)+OFFSET(C26,A29-1,F33-1,1,1))</f>
        <v>81</v>
      </c>
    </row>
    <row r="38" spans="1:14" x14ac:dyDescent="0.3">
      <c r="A38" s="3"/>
      <c r="B38" s="4"/>
    </row>
    <row r="39" spans="1:14" x14ac:dyDescent="0.3">
      <c r="A39" s="3"/>
      <c r="B39" s="4"/>
    </row>
    <row r="40" spans="1:14" x14ac:dyDescent="0.3">
      <c r="A40" s="3"/>
      <c r="B40" s="4"/>
    </row>
    <row r="41" spans="1:14" x14ac:dyDescent="0.3">
      <c r="C41" s="3">
        <v>1</v>
      </c>
      <c r="D41" s="3">
        <v>2</v>
      </c>
      <c r="E41" s="3">
        <v>3</v>
      </c>
      <c r="F41" s="3">
        <v>4</v>
      </c>
      <c r="G41" s="3"/>
      <c r="H41" s="3"/>
      <c r="I41" s="3"/>
    </row>
    <row r="42" spans="1:14" x14ac:dyDescent="0.3">
      <c r="A42" s="3">
        <v>1</v>
      </c>
      <c r="B42" s="4">
        <f ca="1">IF(A42&gt;=N42,OFFSET(C42,0,N42-1,1,1)/M42,0)</f>
        <v>0</v>
      </c>
      <c r="C42">
        <f ca="1">IF(A34&lt;=N34,C34,-OFFSET(C34,N34-1,C41-1,1,1)/M34*
OFFSET(C34,A34-1,N34-1,1,1)+OFFSET(C34,A34-1,C41-1,1,1))</f>
        <v>49</v>
      </c>
      <c r="D42">
        <f ca="1">IF(A34&lt;=N34,D34,-OFFSET(C34,N34-1,D41-1,1,1)/M34*
OFFSET(C34,A34-1,N34-1,1,1)+OFFSET(C34,A34-1,D41-1,1,1))</f>
        <v>21</v>
      </c>
      <c r="E42">
        <f ca="1">IF(A34&lt;=N34,E34,-OFFSET(C34,N34-1,E41-1,1,1)/M34*
OFFSET(C34,A34-1,N34-1,1,1)+OFFSET(C34,A34-1,E41-1,1,1))</f>
        <v>0</v>
      </c>
      <c r="F42">
        <f ca="1">IF(A34&lt;=N34,F34,-OFFSET(C34,N34-1,F41-1,1,1)/M34*
OFFSET(C34,A34-1,N34-1,1,1)+OFFSET(C34,A34-1,F41-1,1,1))</f>
        <v>49</v>
      </c>
      <c r="M42">
        <f ca="1">OFFSET(C42,N42-1,N42-1,1,1)</f>
        <v>0</v>
      </c>
      <c r="N42">
        <f>N34+1</f>
        <v>6</v>
      </c>
    </row>
    <row r="43" spans="1:14" x14ac:dyDescent="0.3">
      <c r="A43" s="3">
        <v>2</v>
      </c>
      <c r="B43" s="4">
        <f ca="1">IF(A43&gt;=N42,OFFSET(C43,0,N42-1,1,1)/M42,0)</f>
        <v>0</v>
      </c>
      <c r="C43">
        <f ca="1">IF(A35&lt;=N34,C35,-OFFSET(C34,N34-1,C41-1,1,1)/M34*
OFFSET(C34,A35-1,N34-1,1,1)+OFFSET(C34,A35-1,C41-1,1,1))</f>
        <v>0</v>
      </c>
      <c r="D43">
        <f ca="1">IF(A35&lt;=N34,D35,-OFFSET(C34,N34-1,D41-1,1,1)/M34*
OFFSET(C34,A35-1,N34-1,1,1)+OFFSET(C34,A35-1,D41-1,1,1))</f>
        <v>16</v>
      </c>
      <c r="E43">
        <f ca="1">IF(A35&lt;=N34,E35,-OFFSET(C34,N34-1,E41-1,1,1)/M34*
OFFSET(C34,A35-1,N34-1,1,1)+OFFSET(C34,A35-1,E41-1,1,1))</f>
        <v>12</v>
      </c>
      <c r="F43">
        <f ca="1">IF(A35&lt;=N34,F35,-OFFSET(C34,N34-1,F41-1,1,1)/M34*
OFFSET(C34,A35-1,N34-1,1,1)+OFFSET(C34,A35-1,F41-1,1,1))</f>
        <v>4</v>
      </c>
    </row>
    <row r="44" spans="1:14" x14ac:dyDescent="0.3">
      <c r="A44" s="3">
        <v>3</v>
      </c>
      <c r="B44" s="4">
        <f ca="1">IF(A44&gt;=N42,OFFSET(C44,0,N42-1,1,1)/M42,0)</f>
        <v>0</v>
      </c>
      <c r="C44">
        <f ca="1">IF(A36&lt;=N34,C36,-OFFSET(C34,N34-1,C41-1,1,1)/M34*
OFFSET(C34,A36-1,N34-1,1,1)+OFFSET(C34,A36-1,C41-1,1,1))</f>
        <v>0</v>
      </c>
      <c r="D44">
        <f ca="1">IF(A36&lt;=N34,D36,-OFFSET(C34,N34-1,D41-1,1,1)/M34*
OFFSET(C34,A36-1,N34-1,1,1)+OFFSET(C34,A36-1,D41-1,1,1))</f>
        <v>0</v>
      </c>
      <c r="E44">
        <f ca="1">IF(A36&lt;=N34,E36,-OFFSET(C34,N34-1,E41-1,1,1)/M34*
OFFSET(C34,A36-1,N34-1,1,1)+OFFSET(C34,A36-1,E41-1,1,1))</f>
        <v>4</v>
      </c>
      <c r="F44">
        <f ca="1">IF(A36&lt;=N34,F36,-OFFSET(C34,N34-1,F41-1,1,1)/M34*
OFFSET(C34,A36-1,N34-1,1,1)+OFFSET(C34,A36-1,F41-1,1,1))</f>
        <v>0</v>
      </c>
    </row>
    <row r="45" spans="1:14" x14ac:dyDescent="0.3">
      <c r="A45" s="3">
        <v>4</v>
      </c>
      <c r="B45" s="4">
        <f ca="1">IF(A45&gt;=N42,OFFSET(C45,0,N42-1,1,1)/M42,0)</f>
        <v>0</v>
      </c>
      <c r="C45">
        <f ca="1">IF(A37&lt;=N34,C37,-OFFSET(C34,N34-1,C41-1,1,1)/M34*
OFFSET(C34,A37-1,N34-1,1,1)+OFFSET(C34,A37-1,C41-1,1,1))</f>
        <v>0</v>
      </c>
      <c r="D45">
        <f ca="1">IF(A37&lt;=N34,D37,-OFFSET(C34,N34-1,D41-1,1,1)/M34*
OFFSET(C34,A37-1,N34-1,1,1)+OFFSET(C34,A37-1,D41-1,1,1))</f>
        <v>0</v>
      </c>
      <c r="E45">
        <f ca="1">IF(A37&lt;=N34,E37,-OFFSET(C34,N34-1,E41-1,1,1)/M34*
OFFSET(C34,A37-1,N34-1,1,1)+OFFSET(C34,A37-1,E41-1,1,1))</f>
        <v>0</v>
      </c>
      <c r="F45">
        <f ca="1">IF(A37&lt;=N34,F37,-OFFSET(C34,N34-1,F41-1,1,1)/M34*
OFFSET(C34,A37-1,N34-1,1,1)+OFFSET(C34,A37-1,F41-1,1,1))</f>
        <v>81</v>
      </c>
    </row>
    <row r="46" spans="1:14" x14ac:dyDescent="0.3">
      <c r="A46" s="3"/>
      <c r="B46" s="4"/>
    </row>
    <row r="47" spans="1:14" x14ac:dyDescent="0.3">
      <c r="A47" s="3"/>
      <c r="B47" s="4"/>
    </row>
    <row r="48" spans="1:14" x14ac:dyDescent="0.3">
      <c r="A48" s="3"/>
      <c r="B48" s="4"/>
    </row>
    <row r="49" spans="1:14" x14ac:dyDescent="0.3">
      <c r="C49" s="3">
        <v>1</v>
      </c>
      <c r="D49" s="3">
        <v>2</v>
      </c>
      <c r="E49" s="3">
        <v>3</v>
      </c>
      <c r="F49" s="3">
        <v>4</v>
      </c>
      <c r="G49" s="3"/>
      <c r="H49" s="3"/>
      <c r="I49" s="3"/>
    </row>
    <row r="50" spans="1:14" x14ac:dyDescent="0.3">
      <c r="A50" s="3">
        <v>1</v>
      </c>
      <c r="B50" s="4">
        <f ca="1">IF(A50&gt;=N50,OFFSET(C50,0,N50-1,1,1)/M50,0)</f>
        <v>0</v>
      </c>
      <c r="C50">
        <f ca="1">IF(A42&lt;=N42,C42,-OFFSET(C42,N42-1,C49-1,1,1)/M42*
OFFSET(C42,A42-1,N42-1,1,1)+OFFSET(C42,A42-1,C49-1,1,1))</f>
        <v>49</v>
      </c>
      <c r="D50">
        <f ca="1">IF(A42&lt;=N42,D42,-OFFSET(C42,N42-1,D49-1,1,1)/M42*
OFFSET(C42,A42-1,N42-1,1,1)+OFFSET(C42,A42-1,D49-1,1,1))</f>
        <v>21</v>
      </c>
      <c r="E50">
        <f ca="1">IF(A42&lt;=N42,E42,-OFFSET(C42,N42-1,E49-1,1,1)/M42*
OFFSET(C42,A42-1,N42-1,1,1)+OFFSET(C42,A42-1,E49-1,1,1))</f>
        <v>0</v>
      </c>
      <c r="F50">
        <f ca="1">IF(A42&lt;=N42,F42,-OFFSET(C42,N42-1,F49-1,1,1)/M42*
OFFSET(C42,A42-1,N42-1,1,1)+OFFSET(C42,A42-1,F49-1,1,1))</f>
        <v>49</v>
      </c>
      <c r="M50">
        <f ca="1">OFFSET(C50,N50-1,N50-1,1,1)</f>
        <v>0</v>
      </c>
      <c r="N50">
        <f>N42+1</f>
        <v>7</v>
      </c>
    </row>
    <row r="51" spans="1:14" x14ac:dyDescent="0.3">
      <c r="A51" s="3">
        <v>2</v>
      </c>
      <c r="B51" s="4">
        <f ca="1">IF(A51&gt;=N50,OFFSET(C51,0,N50-1,1,1)/M50,0)</f>
        <v>0</v>
      </c>
      <c r="C51">
        <f ca="1">IF(A43&lt;=N42,C43,-OFFSET(C42,N42-1,C49-1,1,1)/M42*
OFFSET(C42,A43-1,N42-1,1,1)+OFFSET(C42,A43-1,C49-1,1,1))</f>
        <v>0</v>
      </c>
      <c r="D51">
        <f ca="1">IF(A43&lt;=N42,D43,-OFFSET(C42,N42-1,D49-1,1,1)/M42*
OFFSET(C42,A43-1,N42-1,1,1)+OFFSET(C42,A43-1,D49-1,1,1))</f>
        <v>16</v>
      </c>
      <c r="E51">
        <f ca="1">IF(A43&lt;=N42,E43,-OFFSET(C42,N42-1,E49-1,1,1)/M42*
OFFSET(C42,A43-1,N42-1,1,1)+OFFSET(C42,A43-1,E49-1,1,1))</f>
        <v>12</v>
      </c>
      <c r="F51">
        <f ca="1">IF(A43&lt;=N42,F43,-OFFSET(C42,N42-1,F49-1,1,1)/M42*
OFFSET(C42,A43-1,N42-1,1,1)+OFFSET(C42,A43-1,F49-1,1,1))</f>
        <v>4</v>
      </c>
    </row>
    <row r="52" spans="1:14" x14ac:dyDescent="0.3">
      <c r="A52" s="3">
        <v>3</v>
      </c>
      <c r="B52" s="4">
        <f ca="1">IF(A52&gt;=N50,OFFSET(C52,0,N50-1,1,1)/M50,0)</f>
        <v>0</v>
      </c>
      <c r="C52">
        <f ca="1">IF(A44&lt;=N42,C44,-OFFSET(C42,N42-1,C49-1,1,1)/M42*
OFFSET(C42,A44-1,N42-1,1,1)+OFFSET(C42,A44-1,C49-1,1,1))</f>
        <v>0</v>
      </c>
      <c r="D52">
        <f ca="1">IF(A44&lt;=N42,D44,-OFFSET(C42,N42-1,D49-1,1,1)/M42*
OFFSET(C42,A44-1,N42-1,1,1)+OFFSET(C42,A44-1,D49-1,1,1))</f>
        <v>0</v>
      </c>
      <c r="E52">
        <f ca="1">IF(A44&lt;=N42,E44,-OFFSET(C42,N42-1,E49-1,1,1)/M42*
OFFSET(C42,A44-1,N42-1,1,1)+OFFSET(C42,A44-1,E49-1,1,1))</f>
        <v>4</v>
      </c>
      <c r="F52">
        <f ca="1">IF(A44&lt;=N42,F44,-OFFSET(C42,N42-1,F49-1,1,1)/M42*
OFFSET(C42,A44-1,N42-1,1,1)+OFFSET(C42,A44-1,F49-1,1,1))</f>
        <v>0</v>
      </c>
    </row>
    <row r="53" spans="1:14" x14ac:dyDescent="0.3">
      <c r="A53" s="3">
        <v>4</v>
      </c>
      <c r="B53" s="4">
        <f ca="1">IF(A53&gt;=N50,OFFSET(C53,0,N50-1,1,1)/M50,0)</f>
        <v>0</v>
      </c>
      <c r="C53">
        <f ca="1">IF(A45&lt;=N42,C45,-OFFSET(C42,N42-1,C49-1,1,1)/M42*
OFFSET(C42,A45-1,N42-1,1,1)+OFFSET(C42,A45-1,C49-1,1,1))</f>
        <v>0</v>
      </c>
      <c r="D53">
        <f ca="1">IF(A45&lt;=N42,D45,-OFFSET(C42,N42-1,D49-1,1,1)/M42*
OFFSET(C42,A45-1,N42-1,1,1)+OFFSET(C42,A45-1,D49-1,1,1))</f>
        <v>0</v>
      </c>
      <c r="E53">
        <f ca="1">IF(A45&lt;=N42,E45,-OFFSET(C42,N42-1,E49-1,1,1)/M42*
OFFSET(C42,A45-1,N42-1,1,1)+OFFSET(C42,A45-1,E49-1,1,1))</f>
        <v>0</v>
      </c>
      <c r="F53">
        <f ca="1">IF(A45&lt;=N42,F45,-OFFSET(C42,N42-1,F49-1,1,1)/M42*
OFFSET(C42,A45-1,N42-1,1,1)+OFFSET(C42,A45-1,F49-1,1,1))</f>
        <v>81</v>
      </c>
    </row>
    <row r="54" spans="1:14" x14ac:dyDescent="0.3">
      <c r="A54" s="3"/>
      <c r="B54" s="4"/>
    </row>
    <row r="55" spans="1:14" x14ac:dyDescent="0.3">
      <c r="A55" s="3"/>
      <c r="B55" s="4"/>
    </row>
    <row r="56" spans="1:14" x14ac:dyDescent="0.3">
      <c r="A56" s="3"/>
      <c r="B56" s="4"/>
    </row>
    <row r="57" spans="1:14" x14ac:dyDescent="0.3">
      <c r="C57" s="3">
        <v>1</v>
      </c>
      <c r="D57" s="3">
        <v>2</v>
      </c>
      <c r="E57" s="3">
        <v>3</v>
      </c>
      <c r="F57" s="3">
        <v>4</v>
      </c>
      <c r="G57" s="3"/>
      <c r="H57" s="3"/>
      <c r="I57" s="3"/>
    </row>
    <row r="58" spans="1:14" x14ac:dyDescent="0.3">
      <c r="A58" s="3">
        <v>1</v>
      </c>
      <c r="B58" s="4">
        <f ca="1">IF(A58&gt;=N58,OFFSET(C58,0,N58-1,1,1)/M58,0)</f>
        <v>0</v>
      </c>
      <c r="C58">
        <f t="shared" ref="C58:F59" ca="1" si="0">OFFSET($B$1,8*(C$57-1)+$A58,0,1,1)</f>
        <v>1</v>
      </c>
      <c r="D58">
        <f t="shared" ca="1" si="0"/>
        <v>0</v>
      </c>
      <c r="E58">
        <f t="shared" ca="1" si="0"/>
        <v>0</v>
      </c>
      <c r="F58">
        <f t="shared" ca="1" si="0"/>
        <v>0</v>
      </c>
      <c r="M58">
        <f ca="1">OFFSET(C58,N58-1,N58-1,1,1)</f>
        <v>0</v>
      </c>
      <c r="N58">
        <f>N50+1</f>
        <v>8</v>
      </c>
    </row>
    <row r="59" spans="1:14" x14ac:dyDescent="0.3">
      <c r="A59" s="3">
        <v>2</v>
      </c>
      <c r="B59" s="4">
        <f ca="1">IF(A59&gt;=N58,OFFSET(C59,0,N58-1,1,1)/M58,0)</f>
        <v>0</v>
      </c>
      <c r="C59">
        <f t="shared" ca="1" si="0"/>
        <v>0.42857142857142855</v>
      </c>
      <c r="D59">
        <f t="shared" ca="1" si="0"/>
        <v>1</v>
      </c>
      <c r="E59">
        <f t="shared" ca="1" si="0"/>
        <v>0</v>
      </c>
      <c r="F59">
        <f t="shared" ca="1" si="0"/>
        <v>0</v>
      </c>
    </row>
    <row r="60" spans="1:14" x14ac:dyDescent="0.3">
      <c r="A60" s="3">
        <v>3</v>
      </c>
      <c r="B60" s="4">
        <f ca="1">IF(A60&gt;=N58,OFFSET(C60,0,N58-1,1,1)/M58,0)</f>
        <v>0</v>
      </c>
      <c r="C60">
        <f ca="1">OFFSET($B$1,8*(C$57-1)+$A60,0,1,1)</f>
        <v>0</v>
      </c>
      <c r="D60">
        <f ca="1">OFFSET($B$1,8*(D$57-1)+$A60,0,1,1)</f>
        <v>0.75</v>
      </c>
      <c r="E60">
        <f t="shared" ref="E60:F61" ca="1" si="1">OFFSET($B$1,8*(E$57-1)+$A60,0,1,1)</f>
        <v>1</v>
      </c>
      <c r="F60">
        <f ca="1">OFFSET($B$1,8*(F$57-1)+$A60,0,1,1)</f>
        <v>0</v>
      </c>
    </row>
    <row r="61" spans="1:14" x14ac:dyDescent="0.3">
      <c r="A61" s="3">
        <v>4</v>
      </c>
      <c r="B61" s="4">
        <f ca="1">IF(A61&gt;=N58,OFFSET(C61,0,N58-1,1,1)/M58,0)</f>
        <v>0</v>
      </c>
      <c r="C61">
        <f ca="1">OFFSET($B$1,8*(C$57-1)+$A61,0,1,1)</f>
        <v>1</v>
      </c>
      <c r="D61">
        <f ca="1">OFFSET($B$1,8*(D$57-1)+$A61,0,1,1)</f>
        <v>0.25</v>
      </c>
      <c r="E61">
        <f t="shared" ca="1" si="1"/>
        <v>0</v>
      </c>
      <c r="F61">
        <f t="shared" ca="1" si="1"/>
        <v>1</v>
      </c>
    </row>
    <row r="62" spans="1:14" x14ac:dyDescent="0.3">
      <c r="A62" s="3"/>
      <c r="B62" s="4"/>
    </row>
    <row r="63" spans="1:14" x14ac:dyDescent="0.3">
      <c r="A63" s="3"/>
      <c r="B63" s="4"/>
    </row>
    <row r="64" spans="1:14" x14ac:dyDescent="0.3">
      <c r="A64" s="3"/>
      <c r="B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Вопрос 1</vt:lpstr>
      <vt:lpstr>Вопрос 2</vt:lpstr>
      <vt:lpstr>Промежуточные вычисления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</dc:creator>
  <cp:lastModifiedBy>grisc</cp:lastModifiedBy>
  <dcterms:created xsi:type="dcterms:W3CDTF">2022-06-13T06:21:16Z</dcterms:created>
  <dcterms:modified xsi:type="dcterms:W3CDTF">2022-06-14T12:37:26Z</dcterms:modified>
</cp:coreProperties>
</file>
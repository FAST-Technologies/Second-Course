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ysm47\Downloads\"/>
    </mc:Choice>
  </mc:AlternateContent>
  <xr:revisionPtr revIDLastSave="0" documentId="8_{F4D29493-4EE7-4B46-8247-9ADA93F69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 a="1"/>
  <c r="D33" i="1" s="1"/>
  <c r="C33" i="1" a="1"/>
  <c r="C33" i="1" s="1"/>
  <c r="D32" i="1" a="1"/>
  <c r="D32" i="1" s="1"/>
  <c r="C32" i="1" a="1"/>
  <c r="C32" i="1" s="1"/>
  <c r="D31" i="1" a="1"/>
  <c r="D31" i="1" s="1"/>
  <c r="C31" i="1" a="1"/>
  <c r="C31" i="1" s="1"/>
  <c r="B11" i="1"/>
  <c r="B9" i="1"/>
  <c r="C9" i="1" s="1"/>
  <c r="H9" i="1" s="1"/>
  <c r="G8" i="1"/>
  <c r="B8" i="1"/>
  <c r="B10" i="1" s="1"/>
  <c r="C10" i="1" l="1"/>
  <c r="I9" i="1" s="1"/>
  <c r="I8" i="1"/>
  <c r="B38" i="1"/>
  <c r="B36" i="1"/>
  <c r="F30" i="1"/>
  <c r="B35" i="1" s="1"/>
  <c r="B40" i="1" s="1"/>
  <c r="B37" i="1"/>
  <c r="J8" i="1"/>
  <c r="C11" i="1"/>
  <c r="B14" i="1"/>
  <c r="B19" i="1"/>
  <c r="H8" i="1"/>
  <c r="B15" i="1" l="1"/>
  <c r="D10" i="1"/>
  <c r="I10" i="1" s="1"/>
  <c r="D11" i="1"/>
  <c r="C19" i="1"/>
  <c r="J9" i="1"/>
  <c r="E11" i="1"/>
  <c r="E19" i="1" l="1"/>
  <c r="J11" i="1"/>
  <c r="D19" i="1"/>
  <c r="J10" i="1"/>
  <c r="B16" i="1"/>
  <c r="B17" i="1" l="1"/>
  <c r="G17" i="1" s="1"/>
  <c r="I19" i="1" s="1"/>
  <c r="G16" i="1" l="1"/>
  <c r="H19" i="1" l="1"/>
  <c r="G15" i="1"/>
  <c r="G19" i="1" l="1"/>
  <c r="G14" i="1"/>
  <c r="F19" i="1" s="1"/>
  <c r="B20" i="1" s="1"/>
</calcChain>
</file>

<file path=xl/sharedStrings.xml><?xml version="1.0" encoding="utf-8"?>
<sst xmlns="http://schemas.openxmlformats.org/spreadsheetml/2006/main" count="34" uniqueCount="33">
  <si>
    <t>A=</t>
  </si>
  <si>
    <t>F=</t>
  </si>
  <si>
    <t>Симметричная A, метод квадратного корня. Гайд:</t>
  </si>
  <si>
    <t>1. Тык файл &gt; создать копию</t>
  </si>
  <si>
    <t>2. Введите А, F в синие поля</t>
  </si>
  <si>
    <t>3. Спишите ответ из оранжевого поля</t>
  </si>
  <si>
    <t>A=L*Lt=</t>
  </si>
  <si>
    <t>*</t>
  </si>
  <si>
    <t>y=</t>
  </si>
  <si>
    <t>x=</t>
  </si>
  <si>
    <t>Ответ:</t>
  </si>
  <si>
    <t>Таблица:</t>
  </si>
  <si>
    <t>x</t>
  </si>
  <si>
    <t>Значение спайна в точке по таблице</t>
  </si>
  <si>
    <t>S(x)</t>
  </si>
  <si>
    <t xml:space="preserve">1. Тоже файл &gt; создать копию </t>
  </si>
  <si>
    <t>S'(x)</t>
  </si>
  <si>
    <t>2. Введите таблецу и x в синее поле</t>
  </si>
  <si>
    <t>3. Спишите с оранжевого поля и радуйтесь 100 баллам</t>
  </si>
  <si>
    <t>Найти в точке:</t>
  </si>
  <si>
    <t>Промежуток:</t>
  </si>
  <si>
    <t>i-1</t>
  </si>
  <si>
    <t>i</t>
  </si>
  <si>
    <t>h=</t>
  </si>
  <si>
    <t>y</t>
  </si>
  <si>
    <t>s</t>
  </si>
  <si>
    <t>S1=</t>
  </si>
  <si>
    <t>S2=</t>
  </si>
  <si>
    <t>S3=</t>
  </si>
  <si>
    <t>S4=</t>
  </si>
  <si>
    <t>S=</t>
  </si>
  <si>
    <t>Второй номер</t>
  </si>
  <si>
    <t xml:space="preserve"> номер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</si>
</sst>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999999"/>
      <name val="Arial"/>
      <scheme val="minor"/>
    </font>
    <font>
      <sz val="10"/>
      <name val="Arial"/>
    </font>
    <font>
      <sz val="11"/>
      <color theme="1"/>
      <name val="&quot;Söhne Mono&quot;"/>
    </font>
    <font>
      <sz val="9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4285F4"/>
      </left>
      <right style="thin">
        <color rgb="FF4285F4"/>
      </right>
      <top style="medium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medium">
        <color rgb="FF4285F4"/>
      </top>
      <bottom style="thin">
        <color rgb="FF4285F4"/>
      </bottom>
      <diagonal/>
    </border>
    <border>
      <left style="thin">
        <color rgb="FF4285F4"/>
      </left>
      <right style="medium">
        <color rgb="FF4285F4"/>
      </right>
      <top style="medium">
        <color rgb="FF4285F4"/>
      </top>
      <bottom style="thin">
        <color rgb="FF4285F4"/>
      </bottom>
      <diagonal/>
    </border>
    <border>
      <left style="medium">
        <color rgb="FF4285F4"/>
      </left>
      <right style="medium">
        <color rgb="FF4285F4"/>
      </right>
      <top style="medium">
        <color rgb="FF4285F4"/>
      </top>
      <bottom style="thin">
        <color rgb="FF4285F4"/>
      </bottom>
      <diagonal/>
    </border>
    <border>
      <left style="medium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medium">
        <color rgb="FF4285F4"/>
      </right>
      <top style="thin">
        <color rgb="FF4285F4"/>
      </top>
      <bottom style="thin">
        <color rgb="FF4285F4"/>
      </bottom>
      <diagonal/>
    </border>
    <border>
      <left style="medium">
        <color rgb="FF4285F4"/>
      </left>
      <right style="medium">
        <color rgb="FF4285F4"/>
      </right>
      <top style="thin">
        <color rgb="FF4285F4"/>
      </top>
      <bottom style="thin">
        <color rgb="FF4285F4"/>
      </bottom>
      <diagonal/>
    </border>
    <border>
      <left style="medium">
        <color rgb="FF4285F4"/>
      </left>
      <right style="thin">
        <color rgb="FF4285F4"/>
      </right>
      <top style="thin">
        <color rgb="FF4285F4"/>
      </top>
      <bottom style="medium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medium">
        <color rgb="FF4285F4"/>
      </bottom>
      <diagonal/>
    </border>
    <border>
      <left style="thin">
        <color rgb="FF4285F4"/>
      </left>
      <right style="medium">
        <color rgb="FF4285F4"/>
      </right>
      <top style="thin">
        <color rgb="FF4285F4"/>
      </top>
      <bottom style="medium">
        <color rgb="FF4285F4"/>
      </bottom>
      <diagonal/>
    </border>
    <border>
      <left style="medium">
        <color rgb="FF4285F4"/>
      </left>
      <right style="medium">
        <color rgb="FF4285F4"/>
      </right>
      <top style="thin">
        <color rgb="FF4285F4"/>
      </top>
      <bottom style="medium">
        <color rgb="FF4285F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/>
      <diagonal/>
    </border>
    <border>
      <left style="medium">
        <color rgb="FFFF9900"/>
      </left>
      <right/>
      <top style="medium">
        <color rgb="FFFF9900"/>
      </top>
      <bottom style="medium">
        <color rgb="FFFF9900"/>
      </bottom>
      <diagonal/>
    </border>
    <border>
      <left/>
      <right/>
      <top style="medium">
        <color rgb="FFFF9900"/>
      </top>
      <bottom style="medium">
        <color rgb="FFFF9900"/>
      </bottom>
      <diagonal/>
    </border>
    <border>
      <left/>
      <right style="medium">
        <color rgb="FFFF9900"/>
      </right>
      <top style="medium">
        <color rgb="FFFF9900"/>
      </top>
      <bottom style="medium">
        <color rgb="FFFF99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4285F4"/>
      </bottom>
      <diagonal/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3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 applyAlignment="1">
      <alignment horizontal="right"/>
    </xf>
    <xf numFmtId="0" fontId="3" fillId="0" borderId="1" xfId="0" applyFont="1" applyBorder="1"/>
    <xf numFmtId="0" fontId="2" fillId="0" borderId="19" xfId="0" applyFont="1" applyBorder="1"/>
    <xf numFmtId="0" fontId="3" fillId="0" borderId="5" xfId="0" applyFont="1" applyBorder="1"/>
    <xf numFmtId="0" fontId="3" fillId="0" borderId="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4" fontId="2" fillId="0" borderId="23" xfId="0" applyNumberFormat="1" applyFont="1" applyBorder="1"/>
    <xf numFmtId="0" fontId="5" fillId="0" borderId="13" xfId="0" applyFont="1" applyBorder="1" applyAlignment="1">
      <alignment horizontal="left"/>
    </xf>
    <xf numFmtId="164" fontId="2" fillId="0" borderId="24" xfId="0" applyNumberFormat="1" applyFont="1" applyBorder="1"/>
    <xf numFmtId="0" fontId="6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5" xfId="0" applyFont="1" applyBorder="1"/>
    <xf numFmtId="0" fontId="4" fillId="0" borderId="16" xfId="0" applyFont="1" applyBorder="1"/>
    <xf numFmtId="0" fontId="4" fillId="0" borderId="1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381000</xdr:colOff>
      <xdr:row>5</xdr:row>
      <xdr:rowOff>180975</xdr:rowOff>
    </xdr:from>
    <xdr:ext cx="4857750" cy="2962275"/>
    <xdr:pic>
      <xdr:nvPicPr>
        <xdr:cNvPr id="3" name="image3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27</xdr:row>
      <xdr:rowOff>190500</xdr:rowOff>
    </xdr:from>
    <xdr:ext cx="7029450" cy="3733800"/>
    <xdr:pic>
      <xdr:nvPicPr>
        <xdr:cNvPr id="5" name="image1.png" title="Изображение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0</xdr:row>
      <xdr:rowOff>0</xdr:rowOff>
    </xdr:from>
    <xdr:ext cx="1400175" cy="1400175"/>
    <xdr:pic>
      <xdr:nvPicPr>
        <xdr:cNvPr id="6" name="image5.gif" title="Изображение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3"/>
  <sheetViews>
    <sheetView tabSelected="1" workbookViewId="0">
      <selection activeCell="U5" sqref="U5"/>
    </sheetView>
  </sheetViews>
  <sheetFormatPr defaultColWidth="12.5703125" defaultRowHeight="15.75" customHeight="1"/>
  <cols>
    <col min="2" max="2" width="7.85546875" customWidth="1"/>
    <col min="3" max="3" width="8.140625" customWidth="1"/>
    <col min="4" max="4" width="7.5703125" customWidth="1"/>
    <col min="5" max="5" width="7.85546875" customWidth="1"/>
    <col min="6" max="6" width="6" customWidth="1"/>
    <col min="7" max="7" width="7.85546875" customWidth="1"/>
    <col min="8" max="8" width="7.42578125" customWidth="1"/>
    <col min="9" max="10" width="8" customWidth="1"/>
  </cols>
  <sheetData>
    <row r="1" spans="1:16">
      <c r="L1" s="31" t="s">
        <v>32</v>
      </c>
      <c r="M1" s="32"/>
      <c r="N1" s="32"/>
      <c r="O1" s="32"/>
      <c r="P1" s="32"/>
    </row>
    <row r="2" spans="1:16">
      <c r="A2" s="1" t="s">
        <v>0</v>
      </c>
      <c r="B2" s="2">
        <v>9</v>
      </c>
      <c r="C2" s="3">
        <v>0</v>
      </c>
      <c r="D2" s="3">
        <v>0</v>
      </c>
      <c r="E2" s="4">
        <v>0</v>
      </c>
      <c r="G2" s="1" t="s">
        <v>1</v>
      </c>
      <c r="H2" s="5">
        <v>45</v>
      </c>
      <c r="L2" s="6" t="s">
        <v>2</v>
      </c>
    </row>
    <row r="3" spans="1:16">
      <c r="B3" s="7">
        <v>0</v>
      </c>
      <c r="C3" s="8">
        <v>1</v>
      </c>
      <c r="D3" s="8">
        <v>1</v>
      </c>
      <c r="E3" s="9">
        <v>0</v>
      </c>
      <c r="H3" s="10">
        <v>12</v>
      </c>
      <c r="M3" s="6" t="s">
        <v>3</v>
      </c>
    </row>
    <row r="4" spans="1:16">
      <c r="B4" s="7">
        <v>0</v>
      </c>
      <c r="C4" s="8">
        <v>1</v>
      </c>
      <c r="D4" s="8">
        <v>10</v>
      </c>
      <c r="E4" s="9">
        <v>18</v>
      </c>
      <c r="H4" s="10">
        <v>66</v>
      </c>
      <c r="M4" s="6" t="s">
        <v>4</v>
      </c>
    </row>
    <row r="5" spans="1:16">
      <c r="B5" s="11">
        <v>0</v>
      </c>
      <c r="C5" s="12">
        <v>0</v>
      </c>
      <c r="D5" s="12">
        <v>18</v>
      </c>
      <c r="E5" s="13">
        <v>40</v>
      </c>
      <c r="H5" s="14">
        <v>112</v>
      </c>
      <c r="M5" s="6" t="s">
        <v>5</v>
      </c>
    </row>
    <row r="8" spans="1:16">
      <c r="A8" s="1" t="s">
        <v>6</v>
      </c>
      <c r="B8" s="15">
        <f>SQRT(B2)</f>
        <v>3</v>
      </c>
      <c r="C8" s="16">
        <v>0</v>
      </c>
      <c r="D8" s="16">
        <v>0</v>
      </c>
      <c r="E8" s="16">
        <v>0</v>
      </c>
      <c r="F8" s="33" t="s">
        <v>7</v>
      </c>
      <c r="G8" s="15">
        <f>SQRT(B2)</f>
        <v>3</v>
      </c>
      <c r="H8" s="15">
        <f>B9</f>
        <v>0</v>
      </c>
      <c r="I8" s="15">
        <f>B10</f>
        <v>0</v>
      </c>
      <c r="J8" s="15">
        <f>B11</f>
        <v>0</v>
      </c>
    </row>
    <row r="9" spans="1:16">
      <c r="B9" s="15">
        <f t="shared" ref="B9:B11" si="0">B3/$B$8</f>
        <v>0</v>
      </c>
      <c r="C9" s="15">
        <f>SQRT(C3-B9^2)</f>
        <v>1</v>
      </c>
      <c r="D9" s="16">
        <v>0</v>
      </c>
      <c r="E9" s="16">
        <v>0</v>
      </c>
      <c r="F9" s="32"/>
      <c r="G9" s="16">
        <v>0</v>
      </c>
      <c r="H9" s="15">
        <f>C9</f>
        <v>1</v>
      </c>
      <c r="I9" s="15">
        <f>C10</f>
        <v>1</v>
      </c>
      <c r="J9" s="15">
        <f>C11</f>
        <v>0</v>
      </c>
    </row>
    <row r="10" spans="1:16">
      <c r="B10" s="15">
        <f t="shared" si="0"/>
        <v>0</v>
      </c>
      <c r="C10" s="15">
        <f>(C4-B9*B10)/C9</f>
        <v>1</v>
      </c>
      <c r="D10" s="15">
        <f>SQRT(D4-B10^2-C10^2)</f>
        <v>3</v>
      </c>
      <c r="E10" s="16">
        <v>0</v>
      </c>
      <c r="F10" s="32"/>
      <c r="G10" s="16">
        <v>0</v>
      </c>
      <c r="H10" s="16">
        <v>0</v>
      </c>
      <c r="I10" s="15">
        <f>D10</f>
        <v>3</v>
      </c>
      <c r="J10" s="15">
        <f>D11</f>
        <v>6</v>
      </c>
    </row>
    <row r="11" spans="1:16">
      <c r="B11" s="15">
        <f t="shared" si="0"/>
        <v>0</v>
      </c>
      <c r="C11" s="15">
        <f>(C5-B9*B11)/C9</f>
        <v>0</v>
      </c>
      <c r="D11" s="15">
        <f>(D5-B10*B11-C10*C11)/D10</f>
        <v>6</v>
      </c>
      <c r="E11" s="15">
        <f>SQRT(E5-B11^2-C11^2-D11^2)</f>
        <v>2</v>
      </c>
      <c r="F11" s="32"/>
      <c r="G11" s="16">
        <v>0</v>
      </c>
      <c r="H11" s="16">
        <v>0</v>
      </c>
      <c r="I11" s="16">
        <v>0</v>
      </c>
      <c r="J11" s="15">
        <f>E11</f>
        <v>2</v>
      </c>
    </row>
    <row r="14" spans="1:16">
      <c r="A14" s="1" t="s">
        <v>8</v>
      </c>
      <c r="B14" s="15">
        <f>H2/B8</f>
        <v>15</v>
      </c>
      <c r="F14" s="1" t="s">
        <v>9</v>
      </c>
      <c r="G14" s="15">
        <f>(B14-H8*G15-I8*G16-J8*G17)/G8</f>
        <v>5</v>
      </c>
    </row>
    <row r="15" spans="1:16">
      <c r="B15" s="15">
        <f>(H3-B14*B9)/C9</f>
        <v>12</v>
      </c>
      <c r="G15" s="15">
        <f>(B15-I9*G16-J9*G17)/H9</f>
        <v>8</v>
      </c>
    </row>
    <row r="16" spans="1:16">
      <c r="B16" s="15">
        <f>(H4-B10*B14-C10*B15)/D10</f>
        <v>18</v>
      </c>
      <c r="G16" s="15">
        <f>(B16-G17*J10)/I10</f>
        <v>4</v>
      </c>
    </row>
    <row r="17" spans="1:20">
      <c r="B17" s="15">
        <f>(H5-B14*B11-C11*B15-D11*B16)/E11</f>
        <v>2</v>
      </c>
      <c r="G17" s="15">
        <f>B17/J11</f>
        <v>1</v>
      </c>
    </row>
    <row r="19" spans="1:20">
      <c r="A19" s="1" t="s">
        <v>10</v>
      </c>
      <c r="B19" s="17">
        <f t="shared" ref="B19:E19" si="1">ROUND(B11,0)</f>
        <v>0</v>
      </c>
      <c r="C19" s="17">
        <f t="shared" si="1"/>
        <v>0</v>
      </c>
      <c r="D19" s="17">
        <f t="shared" si="1"/>
        <v>6</v>
      </c>
      <c r="E19" s="17">
        <f t="shared" si="1"/>
        <v>2</v>
      </c>
      <c r="F19" s="17">
        <f>ROUND(G14,0)</f>
        <v>5</v>
      </c>
      <c r="G19" s="17">
        <f>ROUND(G15,0)</f>
        <v>8</v>
      </c>
      <c r="H19" s="17">
        <f>ROUND(G16,0)</f>
        <v>4</v>
      </c>
      <c r="I19" s="17">
        <f>ROUND(G17,0)</f>
        <v>1</v>
      </c>
    </row>
    <row r="20" spans="1:20">
      <c r="B20" s="34" t="str">
        <f>CONCATENATE(B19," ",C19," ",D19," ",E19," ",F19," ",G19," ",H19," ",I19)</f>
        <v>0 0 6 2 5 8 4 1</v>
      </c>
      <c r="C20" s="35"/>
      <c r="D20" s="35"/>
      <c r="E20" s="35"/>
      <c r="F20" s="35"/>
      <c r="G20" s="35"/>
      <c r="H20" s="35"/>
      <c r="I20" s="36"/>
    </row>
    <row r="22" spans="1:20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>
      <c r="L23" s="31" t="s">
        <v>31</v>
      </c>
      <c r="M23" s="32"/>
      <c r="N23" s="32"/>
      <c r="O23" s="32"/>
      <c r="P23" s="32"/>
    </row>
    <row r="24" spans="1:20">
      <c r="A24" s="19" t="s">
        <v>11</v>
      </c>
      <c r="B24" s="20" t="s">
        <v>12</v>
      </c>
      <c r="C24" s="3">
        <v>-9</v>
      </c>
      <c r="D24" s="3">
        <v>-3</v>
      </c>
      <c r="E24" s="3">
        <v>-1</v>
      </c>
      <c r="F24" s="3">
        <v>1</v>
      </c>
      <c r="G24" s="4">
        <v>2</v>
      </c>
      <c r="L24" s="6" t="s">
        <v>13</v>
      </c>
    </row>
    <row r="25" spans="1:20">
      <c r="A25" s="21"/>
      <c r="B25" s="22" t="s">
        <v>14</v>
      </c>
      <c r="C25" s="8">
        <v>-5940</v>
      </c>
      <c r="D25" s="8">
        <v>-234</v>
      </c>
      <c r="E25" s="8">
        <v>-12</v>
      </c>
      <c r="F25" s="8">
        <v>10</v>
      </c>
      <c r="G25" s="9">
        <v>66</v>
      </c>
      <c r="M25" s="6" t="s">
        <v>15</v>
      </c>
    </row>
    <row r="26" spans="1:20">
      <c r="A26" s="21"/>
      <c r="B26" s="23" t="s">
        <v>16</v>
      </c>
      <c r="C26" s="12">
        <v>1965</v>
      </c>
      <c r="D26" s="12">
        <v>225</v>
      </c>
      <c r="E26" s="12">
        <v>29</v>
      </c>
      <c r="F26" s="12">
        <v>25</v>
      </c>
      <c r="G26" s="13">
        <v>95</v>
      </c>
      <c r="M26" s="6" t="s">
        <v>17</v>
      </c>
    </row>
    <row r="27" spans="1:20">
      <c r="A27" s="24"/>
      <c r="B27" s="25"/>
      <c r="C27" s="26"/>
      <c r="D27" s="26"/>
      <c r="E27" s="26"/>
      <c r="F27" s="26"/>
      <c r="G27" s="26"/>
      <c r="M27" s="6" t="s">
        <v>18</v>
      </c>
    </row>
    <row r="28" spans="1:20">
      <c r="A28" s="1" t="s">
        <v>19</v>
      </c>
      <c r="B28" s="27">
        <v>-7.5</v>
      </c>
    </row>
    <row r="30" spans="1:20">
      <c r="A30" s="1" t="s">
        <v>20</v>
      </c>
      <c r="B30" s="15"/>
      <c r="C30" s="15" t="s">
        <v>21</v>
      </c>
      <c r="D30" s="15" t="s">
        <v>22</v>
      </c>
      <c r="E30" s="1" t="s">
        <v>23</v>
      </c>
      <c r="F30" s="6">
        <f>D31-C31</f>
        <v>6</v>
      </c>
    </row>
    <row r="31" spans="1:20">
      <c r="B31" s="15" t="s">
        <v>12</v>
      </c>
      <c r="C31" s="28">
        <f t="array" ref="C31">INDEX(C24:G24, MATCH(TRUE, C24:G24&gt;=$B$28, 0) - 1)</f>
        <v>-9</v>
      </c>
      <c r="D31" s="28">
        <f t="array" ref="D31">INDEX(C24:G24, MATCH(TRUE, C24:G24&gt;=$B$28, 0))</f>
        <v>-3</v>
      </c>
    </row>
    <row r="32" spans="1:20">
      <c r="B32" s="15" t="s">
        <v>24</v>
      </c>
      <c r="C32" s="28">
        <f t="array" ref="C32">INDEX(C25:G25, MATCH(TRUE, C24:G24&gt;=$B$28, 0) - 1)</f>
        <v>-5940</v>
      </c>
      <c r="D32" s="28">
        <f t="array" ref="D32">INDEX(C25:G25, MATCH(TRUE, C24:G24&gt;=$B$28, 0))</f>
        <v>-234</v>
      </c>
    </row>
    <row r="33" spans="1:4">
      <c r="B33" s="15" t="s">
        <v>25</v>
      </c>
      <c r="C33" s="28">
        <f t="array" ref="C33">INDEX(C26:G26, MATCH(TRUE, C24:G24&gt;=$B$28, 0) - 1)</f>
        <v>1965</v>
      </c>
      <c r="D33" s="28">
        <f t="array" ref="D33">INDEX(C26:G26, MATCH(TRUE, C24:G24&gt;=$B$28, 0))</f>
        <v>225</v>
      </c>
    </row>
    <row r="35" spans="1:4">
      <c r="A35" s="1" t="s">
        <v>26</v>
      </c>
      <c r="B35" s="6">
        <f>((B28-D31)*(B28-D31)*(2*(B28-C31)+F30)*(C32))/(F30*F30*F30)</f>
        <v>-5011.875</v>
      </c>
    </row>
    <row r="36" spans="1:4">
      <c r="A36" s="1" t="s">
        <v>27</v>
      </c>
      <c r="B36" s="6">
        <f>((B28-C31)*(B28-C31)*(2*(D31-B28)+F30)*D32)/(F30*F30*F30)</f>
        <v>-36.5625</v>
      </c>
    </row>
    <row r="37" spans="1:4">
      <c r="A37" s="1" t="s">
        <v>28</v>
      </c>
      <c r="B37" s="6">
        <f>((B28-D31)*(B28-D31)*(B28-C31)*C33)/(F30*F30)</f>
        <v>1657.96875</v>
      </c>
    </row>
    <row r="38" spans="1:4">
      <c r="A38" s="1" t="s">
        <v>29</v>
      </c>
      <c r="B38" s="6">
        <f>((B28-C31)*(B28-C31)*(B28-D31)*D33)/(F30*F30)</f>
        <v>-63.28125</v>
      </c>
    </row>
    <row r="40" spans="1:4">
      <c r="A40" s="1" t="s">
        <v>30</v>
      </c>
      <c r="B40" s="29">
        <f>B35+B36+B37+B38</f>
        <v>-3453.75</v>
      </c>
    </row>
    <row r="43" spans="1:4">
      <c r="A43" s="30"/>
    </row>
  </sheetData>
  <mergeCells count="4">
    <mergeCell ref="L1:P1"/>
    <mergeCell ref="F8:F11"/>
    <mergeCell ref="B20:I20"/>
    <mergeCell ref="L23:P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Владимир Ямщиков</cp:lastModifiedBy>
  <dcterms:created xsi:type="dcterms:W3CDTF">2024-06-10T15:00:45Z</dcterms:created>
  <dcterms:modified xsi:type="dcterms:W3CDTF">2024-06-10T15:00:45Z</dcterms:modified>
</cp:coreProperties>
</file>